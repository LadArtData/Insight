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Discovery Questions" sheetId="2" state="visible" r:id="rId2"/>
    <sheet xmlns:r="http://schemas.openxmlformats.org/officeDocument/2006/relationships" name="Recommended Modules" sheetId="3" state="visible" r:id="rId3"/>
    <sheet xmlns:r="http://schemas.openxmlformats.org/officeDocument/2006/relationships" name="Cookbook Mapping" sheetId="4" state="visible" r:id="rId4"/>
    <sheet xmlns:r="http://schemas.openxmlformats.org/officeDocument/2006/relationships" name="Gap Summary" sheetId="5" state="visible" r:id="rId5"/>
  </sheets>
  <definedNames>
    <definedName name="_xlnm._FilterDatabase" localSheetId="1" hidden="1">'Discovery Questions'!$A$1:$I$92</definedName>
    <definedName name="_xlnm._FilterDatabase" localSheetId="3" hidden="1">'Cookbook Mapping'!$A$15:$E$43</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Calibri"/>
      <charset val="1"/>
      <family val="0"/>
      <b val="1"/>
      <color rgb="FF1F3864"/>
      <sz val="16"/>
    </font>
    <font>
      <name val="Calibri"/>
      <charset val="1"/>
      <family val="0"/>
      <i val="1"/>
      <color rgb="FF595959"/>
      <sz val="10"/>
    </font>
    <font>
      <name val="Calibri"/>
      <charset val="1"/>
      <family val="0"/>
      <color rgb="FF000000"/>
      <sz val="10"/>
    </font>
    <font>
      <name val="Calibri"/>
      <charset val="1"/>
      <family val="0"/>
      <b val="1"/>
      <color rgb="FF1F3864"/>
      <sz val="11"/>
    </font>
    <font>
      <name val="Calibri"/>
      <charset val="1"/>
      <family val="0"/>
      <b val="1"/>
      <color rgb="FFFFFFFF"/>
      <sz val="11"/>
    </font>
    <font>
      <name val="Calibri"/>
      <charset val="1"/>
      <family val="0"/>
      <b val="1"/>
      <color rgb="FF1F3864"/>
      <sz val="14"/>
    </font>
    <font>
      <name val="Calibri"/>
      <charset val="1"/>
      <family val="0"/>
      <b val="1"/>
      <sz val="10"/>
    </font>
  </fonts>
  <fills count="8">
    <fill>
      <patternFill/>
    </fill>
    <fill>
      <patternFill patternType="gray125"/>
    </fill>
    <fill>
      <patternFill patternType="solid">
        <fgColor rgb="FF1F3864"/>
        <bgColor rgb="FF333333"/>
      </patternFill>
    </fill>
    <fill>
      <patternFill patternType="solid">
        <fgColor rgb="FFE2EFDA"/>
        <bgColor rgb="FFDDEBF7"/>
      </patternFill>
    </fill>
    <fill>
      <patternFill patternType="solid">
        <fgColor rgb="FFFFF2CC"/>
        <bgColor rgb="FFFDECEA"/>
      </patternFill>
    </fill>
    <fill>
      <patternFill patternType="solid">
        <fgColor rgb="FFF2F2F2"/>
        <bgColor rgb="FFFDECEA"/>
      </patternFill>
    </fill>
    <fill>
      <patternFill patternType="solid">
        <fgColor rgb="FFDDEBF7"/>
        <bgColor rgb="FFE2EFDA"/>
      </patternFill>
    </fill>
    <fill>
      <patternFill patternType="solid">
        <fgColor rgb="FFFDECEA"/>
        <b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center" vertical="center" wrapText="1"/>
    </xf>
    <xf numFmtId="0" fontId="6" fillId="3" borderId="1" applyAlignment="1" pivotButton="0" quotePrefix="0" xfId="0">
      <alignment horizontal="general" vertical="top"/>
    </xf>
    <xf numFmtId="0" fontId="6" fillId="3"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xf>
    <xf numFmtId="0" fontId="6" fillId="6" borderId="1" applyAlignment="1" pivotButton="0" quotePrefix="0" xfId="0">
      <alignment horizontal="general" vertical="top"/>
    </xf>
    <xf numFmtId="0" fontId="6" fillId="6" borderId="1" applyAlignment="1" pivotButton="0" quotePrefix="0" xfId="0">
      <alignment horizontal="general" vertical="top" wrapText="1"/>
    </xf>
    <xf numFmtId="0" fontId="6" fillId="4" borderId="1" applyAlignment="1" pivotButton="0" quotePrefix="0" xfId="0">
      <alignment horizontal="general" vertical="top"/>
    </xf>
    <xf numFmtId="0" fontId="6" fillId="0" borderId="1" applyAlignment="1" pivotButton="0" quotePrefix="0" xfId="0">
      <alignment horizontal="general" vertical="top"/>
    </xf>
    <xf numFmtId="0" fontId="6" fillId="0" borderId="1" applyAlignment="1" pivotButton="0" quotePrefix="0" xfId="0">
      <alignment horizontal="general" vertical="top" wrapText="1"/>
    </xf>
    <xf numFmtId="0" fontId="6" fillId="5" borderId="1" applyAlignment="1" pivotButton="0" quotePrefix="0" xfId="0">
      <alignment horizontal="general" vertical="top" wrapText="1"/>
    </xf>
    <xf numFmtId="0" fontId="9"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6" fillId="7" borderId="1" applyAlignment="1" pivotButton="0" quotePrefix="0" xfId="0">
      <alignment horizontal="general" vertical="top" wrapText="1"/>
    </xf>
    <xf numFmtId="0" fontId="7" fillId="0" borderId="0" applyAlignment="1" pivotButton="0" quotePrefix="0" xfId="0">
      <alignment horizontal="general" vertical="bottom"/>
    </xf>
    <xf numFmtId="0" fontId="5" fillId="0" borderId="0" applyAlignment="1" pivotButton="0" quotePrefix="0" xfId="0">
      <alignment horizontal="general" vertical="bottom"/>
    </xf>
    <xf numFmtId="9" fontId="6" fillId="5" borderId="1" applyAlignment="1" pivotButton="0" quotePrefix="0" xfId="0">
      <alignment horizontal="general" vertical="top"/>
    </xf>
    <xf numFmtId="0" fontId="10" fillId="0" borderId="0" applyAlignment="1" pivotButton="0" quotePrefix="0" xfId="0">
      <alignment horizontal="general" vertical="bottom"/>
    </xf>
    <xf numFmtId="0" fontId="10" fillId="6" borderId="1" applyAlignment="1" pivotButton="0" quotePrefix="0" xfId="0">
      <alignment horizontal="general" vertical="top"/>
    </xf>
    <xf numFmtId="9" fontId="10" fillId="6" borderId="1" applyAlignment="1" pivotButton="0" quotePrefix="0" xfId="0">
      <alignment horizontal="general" vertical="top"/>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center" vertical="center" wrapText="1"/>
    </xf>
    <xf numFmtId="0" fontId="6" fillId="3" borderId="1" applyAlignment="1" pivotButton="0" quotePrefix="0" xfId="0">
      <alignment horizontal="general" vertical="top"/>
    </xf>
    <xf numFmtId="0" fontId="6" fillId="3"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xf>
    <xf numFmtId="0" fontId="6" fillId="6" borderId="1" applyAlignment="1" pivotButton="0" quotePrefix="0" xfId="0">
      <alignment horizontal="general" vertical="top"/>
    </xf>
    <xf numFmtId="0" fontId="6" fillId="6" borderId="1" applyAlignment="1" pivotButton="0" quotePrefix="0" xfId="0">
      <alignment horizontal="general" vertical="top" wrapText="1"/>
    </xf>
    <xf numFmtId="0" fontId="6" fillId="4" borderId="1" applyAlignment="1" pivotButton="0" quotePrefix="0" xfId="0">
      <alignment horizontal="general" vertical="top"/>
    </xf>
    <xf numFmtId="0" fontId="6" fillId="0" borderId="1" applyAlignment="1" pivotButton="0" quotePrefix="0" xfId="0">
      <alignment horizontal="general" vertical="top"/>
    </xf>
    <xf numFmtId="0" fontId="6" fillId="0" borderId="1" applyAlignment="1" pivotButton="0" quotePrefix="0" xfId="0">
      <alignment horizontal="general" vertical="top" wrapText="1"/>
    </xf>
    <xf numFmtId="0" fontId="6" fillId="5" borderId="1" applyAlignment="1" pivotButton="0" quotePrefix="0" xfId="0">
      <alignment horizontal="general" vertical="top" wrapText="1"/>
    </xf>
    <xf numFmtId="0" fontId="9" fillId="0" borderId="0" applyAlignment="1" pivotButton="0" quotePrefix="0" xfId="0">
      <alignment horizontal="general" vertical="bottom"/>
    </xf>
    <xf numFmtId="0" fontId="6" fillId="7" borderId="1" applyAlignment="1" pivotButton="0" quotePrefix="0" xfId="0">
      <alignment horizontal="general" vertical="top" wrapText="1"/>
    </xf>
    <xf numFmtId="9" fontId="6" fillId="5" borderId="1" applyAlignment="1" pivotButton="0" quotePrefix="0" xfId="0">
      <alignment horizontal="general" vertical="top"/>
    </xf>
    <xf numFmtId="0" fontId="10" fillId="0" borderId="0" applyAlignment="1" pivotButton="0" quotePrefix="0" xfId="0">
      <alignment horizontal="general" vertical="bottom"/>
    </xf>
    <xf numFmtId="0" fontId="10" fillId="6" borderId="1" applyAlignment="1" pivotButton="0" quotePrefix="0" xfId="0">
      <alignment horizontal="general" vertical="top"/>
    </xf>
    <xf numFmtId="9" fontId="10" fillId="6" borderId="1" applyAlignment="1" pivotButton="0" quotePrefix="0" xfId="0">
      <alignment horizontal="general"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1F3864"/>
          <bgColor rgb="FF000000"/>
        </patternFill>
      </fill>
    </dxf>
    <dxf>
      <fill>
        <patternFill patternType="solid">
          <fgColor rgb="FFDDEBF7"/>
          <bgColor rgb="FF000000"/>
        </patternFill>
      </fill>
    </dxf>
    <dxf>
      <fill>
        <patternFill patternType="solid">
          <fgColor rgb="FFE2EFD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F2F2F2"/>
          <bgColor rgb="FF000000"/>
        </patternFill>
      </fill>
    </dxf>
    <dxf>
      <fill>
        <patternFill patternType="solid">
          <fgColor rgb="FFFDECE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DECEA"/>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INSIGHT tooling</author>
  </authors>
  <commentList>
    <comment ref="A1" authorId="0" shapeId="0">
      <text>
        <t>Source of truth is INSIGHT_oracle_26node_apex_python_container/questions/insight_questions.json, generated into the app (gen-js-questions.js) and SQL seed (gen-sql-seed.js). This sheet mirrors that data by hand -- if it drifts, update the JSON and re-derive this sheet, don't edit rows here as the source.</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A4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28" min="1" max="1"/>
  </cols>
  <sheetData>
    <row r="1" ht="19.5" customHeight="1" s="29">
      <c r="A1" s="30" t="inlineStr">
        <is>
          <t>Oracle Fusion Financials — Client Discovery &amp; Product Mapping Workbook</t>
        </is>
      </c>
    </row>
    <row r="2" ht="15" customHeight="1" s="29">
      <c r="A2" s="31" t="inlineStr">
        <is>
          <t>Covers Core Financials: General Ledger (GL), Accounts Payable (AP), Accounts Receivable (AR), Fixed Assets (FA), Cash Management (CM)</t>
        </is>
      </c>
    </row>
    <row r="3" ht="15" customHeight="1" s="29">
      <c r="A3" s="32" t="n"/>
    </row>
    <row r="4" ht="15" customHeight="1" s="29">
      <c r="A4" s="33" t="inlineStr">
        <is>
          <t>THREE-PHASE STRUCTURE</t>
        </is>
      </c>
    </row>
    <row r="5" ht="15" customHeight="1" s="29">
      <c r="A5" s="32" t="inlineStr">
        <is>
          <t>Built around a client who just called and you're starting from zero:</t>
        </is>
      </c>
    </row>
    <row r="6" ht="15" customHeight="1" s="29">
      <c r="A6" s="32" t="n"/>
    </row>
    <row r="7" ht="15" customHeight="1" s="29">
      <c r="A7" s="32" t="inlineStr">
        <is>
          <t xml:space="preserve">  Phase 1 - Client Intake       Who they are: company, contacts, current systems, why they're calling.</t>
        </is>
      </c>
    </row>
    <row r="8" ht="15" customHeight="1" s="29">
      <c r="A8" s="32" t="inlineStr">
        <is>
          <t xml:space="preserve">                                 Answerable in the first few minutes of the first call.</t>
        </is>
      </c>
    </row>
    <row r="9" ht="15" customHeight="1" s="29">
      <c r="A9" s="32" t="inlineStr">
        <is>
          <t xml:space="preserve">  Phase 2 - Needs &amp; Wants       The 6 scope-qualifier questions. Establishes which modules (GL/AP/AR/FA/CM)</t>
        </is>
      </c>
    </row>
    <row r="10" ht="15" customHeight="1" s="29">
      <c r="A10" s="32" t="inlineStr">
        <is>
          <t xml:space="preserve">                                 are actually in play before you go deep on any of them.</t>
        </is>
      </c>
    </row>
    <row r="11" ht="15" customHeight="1" s="29">
      <c r="A11" s="32" t="inlineStr">
        <is>
          <t xml:space="preserve">  Phase 3 - Detailed Discovery  The module-specific configuration questions. These typically can't be</t>
        </is>
      </c>
    </row>
    <row r="12" ht="15" customHeight="1" s="29">
      <c r="A12" s="32" t="inlineStr">
        <is>
          <t xml:space="preserve">                                 fully answered on the first call -- expect to fill these in over follow-up</t>
        </is>
      </c>
    </row>
    <row r="13" ht="15" customHeight="1" s="29">
      <c r="A13" s="32" t="inlineStr">
        <is>
          <t xml:space="preserve">                                 sessions with the right stakeholders on the client side.</t>
        </is>
      </c>
    </row>
    <row r="14" ht="15" customHeight="1" s="29">
      <c r="A14" s="32" t="n"/>
    </row>
    <row r="15" ht="15" customHeight="1" s="29">
      <c r="A15" s="32" t="inlineStr">
        <is>
          <t>Live client tracking happens in INSIGHT_All_Clients_Roster.xlsx — one row per client, not one file per client (that draft convention is retired).</t>
        </is>
      </c>
    </row>
    <row r="16" ht="15" customHeight="1" s="29">
      <c r="A16" s="32" t="inlineStr">
        <is>
          <t>This workbook's own 'Discovery Questions' tab is the reference list the roster's columns mirror — a single flat list (one tab)</t>
        </is>
      </c>
    </row>
    <row r="17" ht="15" customHeight="1" s="29">
      <c r="A17" s="32" t="inlineStr">
        <is>
          <t>rather than one tab per phase or module, so growing it later is just adding rows, not adding sheets.</t>
        </is>
      </c>
    </row>
    <row r="18" ht="15" customHeight="1" s="29">
      <c r="A18" s="32" t="n"/>
    </row>
    <row r="19" ht="15" customHeight="1" s="29">
      <c r="A19" s="33" t="inlineStr">
        <is>
          <t>HOW THIS WORKBOOK WORKS</t>
        </is>
      </c>
    </row>
    <row r="20" ht="15" customHeight="1" s="29">
      <c r="A20" s="32" t="inlineStr">
        <is>
          <t>1. On the first call, work top to bottom through the Phase 1 (Client Intake) rows, then the Phase 2</t>
        </is>
      </c>
    </row>
    <row r="21" ht="15" customHeight="1" s="29">
      <c r="A21" s="32" t="inlineStr">
        <is>
          <t xml:space="preserve">   (Needs &amp; Wants) rows. Both are quick and the client can answer them live.</t>
        </is>
      </c>
    </row>
    <row r="22" ht="15" customHeight="1" s="29">
      <c r="A22" s="32" t="inlineStr">
        <is>
          <t>2. The 'Recommended Modules' tab auto-calculates from the Phase 2 answers as soon as they're entered.</t>
        </is>
      </c>
    </row>
    <row r="23" ht="15" customHeight="1" s="29">
      <c r="A23" s="32" t="inlineStr">
        <is>
          <t>3. Phase 3 (Detailed Discovery) rows are grouped by module underneath. Work through whichever modules</t>
        </is>
      </c>
    </row>
    <row r="24" ht="15" customHeight="1" s="29">
      <c r="A24" s="32" t="inlineStr">
        <is>
          <t xml:space="preserve">   came back 'Included' -- across this call and follow-ups, as you get access to the right people.</t>
        </is>
      </c>
    </row>
    <row r="25" ht="15" customHeight="1" s="29">
      <c r="A25" s="32" t="inlineStr">
        <is>
          <t>4. The Status column flags any required question left blank:</t>
        </is>
      </c>
    </row>
    <row r="26" ht="15" customHeight="1" s="29">
      <c r="A26" s="32" t="inlineStr">
        <is>
          <t xml:space="preserve">      ⚠ Missing – AI Follow-Up</t>
        </is>
      </c>
    </row>
    <row r="27" ht="15" customHeight="1" s="29">
      <c r="A27" s="32" t="inlineStr">
        <is>
          <t xml:space="preserve">   Filter the Discovery Questions tab on that Status value (or on Phase) to see exactly what's still open</t>
        </is>
      </c>
    </row>
    <row r="28" ht="15" customHeight="1" s="29">
      <c r="A28" s="32" t="inlineStr">
        <is>
          <t xml:space="preserve">   for the next call. Feed that list to an AI assistant to generate the specific follow-up questions to</t>
        </is>
      </c>
    </row>
    <row r="29" ht="15" customHeight="1" s="29">
      <c r="A29" s="32" t="inlineStr">
        <is>
          <t xml:space="preserve">   ask, rather than re-reading the whole sheet.</t>
        </is>
      </c>
    </row>
    <row r="30" ht="15" customHeight="1" s="29">
      <c r="A30" s="32" t="inlineStr">
        <is>
          <t>5. The 'Gap Summary' tab rolls up completion by phase and by module.</t>
        </is>
      </c>
    </row>
    <row r="31" ht="15" customHeight="1" s="29">
      <c r="A31" s="32" t="n"/>
    </row>
    <row r="32" ht="15" customHeight="1" s="29">
      <c r="A32" s="33" t="inlineStr">
        <is>
          <t>GROWING THIS WORKBOOK</t>
        </is>
      </c>
    </row>
    <row r="33" ht="15" customHeight="1" s="29">
      <c r="A33" s="32" t="inlineStr">
        <is>
          <t xml:space="preserve">   New question -&gt; add a row to 'Discovery Questions' with the next sequential Question ID, tagged with</t>
        </is>
      </c>
    </row>
    <row r="34" ht="15" customHeight="1" s="29">
      <c r="A34" s="32" t="inlineStr">
        <is>
          <t xml:space="preserve">   its Phase and Module. New module -&gt; add its Phase 2 qualifier row plus its Phase 3 rows the same way,</t>
        </is>
      </c>
    </row>
    <row r="35" ht="15" customHeight="1" s="29">
      <c r="A35" s="32" t="inlineStr">
        <is>
          <t xml:space="preserve">   then one row to 'Recommended Modules' and one row to 'Gap Summary'. No new tabs required.</t>
        </is>
      </c>
    </row>
    <row r="36" ht="15" customHeight="1" s="29">
      <c r="A36" s="32" t="n"/>
    </row>
    <row r="37" ht="15" customHeight="1" s="29">
      <c r="A37" s="33" t="inlineStr">
        <is>
          <t>COLOR LEGEND</t>
        </is>
      </c>
    </row>
    <row r="38" ht="15" customHeight="1" s="29">
      <c r="A38" s="32" t="inlineStr">
        <is>
          <t xml:space="preserve">   Green row      = Phase 1, Client Intake</t>
        </is>
      </c>
    </row>
    <row r="39" ht="15" customHeight="1" s="29">
      <c r="A39" s="32" t="inlineStr">
        <is>
          <t xml:space="preserve">   Light blue row = Phase 2, Needs &amp; Wants (scope qualifier)</t>
        </is>
      </c>
    </row>
    <row r="40" ht="15" customHeight="1" s="29">
      <c r="A40" s="32" t="inlineStr">
        <is>
          <t xml:space="preserve">   Yellow cell    = consultant enters the client's answer here</t>
        </is>
      </c>
    </row>
    <row r="41" ht="15" customHeight="1" s="29">
      <c r="A41" s="32" t="inlineStr">
        <is>
          <t xml:space="preserve">   Grey cell      = calculated automatically — do not overwrite</t>
        </is>
      </c>
    </row>
    <row r="42" ht="15" customHeight="1" s="29">
      <c r="A42" s="32" t="n"/>
    </row>
    <row r="43" ht="15" customHeight="1" s="29">
      <c r="A43" s="33" t="inlineStr">
        <is>
          <t>SOURCE NOTE</t>
        </is>
      </c>
    </row>
    <row r="44" ht="15" customHeight="1" s="29">
      <c r="A44" s="32" t="inlineStr">
        <is>
          <t xml:space="preserve">   GL Discovery questions were provided directly by the consulting team.</t>
        </is>
      </c>
    </row>
    <row r="45" ht="15" customHeight="1" s="29">
      <c r="A45" s="32" t="inlineStr">
        <is>
          <t xml:space="preserve">   AP, AR, FA, CM Discovery questions and all Client Intake questions were drafted to match that style --</t>
        </is>
      </c>
    </row>
    <row r="46" ht="15" customHeight="1" s="29">
      <c r="A46" s="32" t="inlineStr">
        <is>
          <t xml:space="preserve">   review and edit before using this with a client.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9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28" min="1" max="1"/>
    <col width="30" customWidth="1" style="28" min="2" max="2"/>
    <col width="10" customWidth="1" style="28" min="3" max="3"/>
    <col width="26" customWidth="1" style="28" min="4" max="4"/>
    <col width="60" customWidth="1" style="28" min="5" max="5"/>
    <col width="14" customWidth="1" style="28" min="6" max="6"/>
    <col width="10" customWidth="1" style="28" min="7" max="7"/>
    <col width="38" customWidth="1" style="28" min="8" max="8"/>
    <col width="24" customWidth="1" style="28" min="9" max="9"/>
  </cols>
  <sheetData>
    <row r="1" ht="25.5" customHeight="1" s="29">
      <c r="A1" s="34" t="inlineStr">
        <is>
          <t>Question ID</t>
        </is>
      </c>
      <c r="B1" s="34" t="inlineStr">
        <is>
          <t>Phase</t>
        </is>
      </c>
      <c r="C1" s="34" t="inlineStr">
        <is>
          <t>Module</t>
        </is>
      </c>
      <c r="D1" s="34" t="inlineStr">
        <is>
          <t>Functional Area</t>
        </is>
      </c>
      <c r="E1" s="34" t="inlineStr">
        <is>
          <t>Question</t>
        </is>
      </c>
      <c r="F1" s="34" t="inlineStr">
        <is>
          <t>Type</t>
        </is>
      </c>
      <c r="G1" s="34" t="inlineStr">
        <is>
          <t>Required</t>
        </is>
      </c>
      <c r="H1" s="34" t="inlineStr">
        <is>
          <t>Client Answer</t>
        </is>
      </c>
      <c r="I1" s="34" t="inlineStr">
        <is>
          <t>Status</t>
        </is>
      </c>
    </row>
    <row r="2" ht="23.25" customHeight="1" s="29">
      <c r="A2" s="35" t="inlineStr">
        <is>
          <t>INTAKE-001</t>
        </is>
      </c>
      <c r="B2" s="35" t="inlineStr">
        <is>
          <t>1 – Client Intake</t>
        </is>
      </c>
      <c r="C2" s="35" t="inlineStr">
        <is>
          <t>INTAKE</t>
        </is>
      </c>
      <c r="D2" s="36" t="inlineStr">
        <is>
          <t>Client Identification</t>
        </is>
      </c>
      <c r="E2" s="36" t="inlineStr">
        <is>
          <t>What is the client's full legal company name, and what should we call them informally?</t>
        </is>
      </c>
      <c r="F2" s="35" t="inlineStr">
        <is>
          <t>Free Text</t>
        </is>
      </c>
      <c r="G2" s="35" t="inlineStr">
        <is>
          <t>Y</t>
        </is>
      </c>
      <c r="H2" s="37" t="n"/>
      <c r="I2" s="38">
        <f>IF(TRIM(H2)&lt;&gt;"","✓ Answered",IF(G2="Y","⚠ Missing – AI Follow-Up","— Optional (not answered)"))</f>
        <v/>
      </c>
    </row>
    <row r="3" ht="15" customHeight="1" s="29">
      <c r="A3" s="35" t="inlineStr">
        <is>
          <t>INTAKE-002</t>
        </is>
      </c>
      <c r="B3" s="35" t="inlineStr">
        <is>
          <t>1 – Client Intake</t>
        </is>
      </c>
      <c r="C3" s="35" t="inlineStr">
        <is>
          <t>INTAKE</t>
        </is>
      </c>
      <c r="D3" s="36" t="inlineStr">
        <is>
          <t>Client Identification</t>
        </is>
      </c>
      <c r="E3" s="36" t="inlineStr">
        <is>
          <t>Who is the primary contact for this engagement (name, title, email, phone)?</t>
        </is>
      </c>
      <c r="F3" s="35" t="inlineStr">
        <is>
          <t>Free Text</t>
        </is>
      </c>
      <c r="G3" s="35" t="inlineStr">
        <is>
          <t>Y</t>
        </is>
      </c>
      <c r="H3" s="37" t="n"/>
      <c r="I3" s="38">
        <f>IF(TRIM(H3)&lt;&gt;"","✓ Answered",IF(G3="Y","⚠ Missing – AI Follow-Up","— Optional (not answered)"))</f>
        <v/>
      </c>
    </row>
    <row r="4" ht="23.25" customHeight="1" s="29">
      <c r="A4" s="35" t="inlineStr">
        <is>
          <t>INTAKE-003</t>
        </is>
      </c>
      <c r="B4" s="35" t="inlineStr">
        <is>
          <t>1 – Client Intake</t>
        </is>
      </c>
      <c r="C4" s="35" t="inlineStr">
        <is>
          <t>INTAKE</t>
        </is>
      </c>
      <c r="D4" s="36" t="inlineStr">
        <is>
          <t>Client Identification</t>
        </is>
      </c>
      <c r="E4" s="36" t="inlineStr">
        <is>
          <t>Who else should be considered a key stakeholder or decision-maker (e.g., CFO, Controller, IT Director)?</t>
        </is>
      </c>
      <c r="F4" s="35" t="inlineStr">
        <is>
          <t>Free Text</t>
        </is>
      </c>
      <c r="G4" s="35" t="inlineStr">
        <is>
          <t>N</t>
        </is>
      </c>
      <c r="H4" s="37" t="n"/>
      <c r="I4" s="38">
        <f>IF(TRIM(H4)&lt;&gt;"","✓ Answered",IF(G4="Y","⚠ Missing – AI Follow-Up","— Optional (not answered)"))</f>
        <v/>
      </c>
    </row>
    <row r="5" ht="23.25" customHeight="1" s="29">
      <c r="A5" s="35" t="inlineStr">
        <is>
          <t>INTAKE-004</t>
        </is>
      </c>
      <c r="B5" s="35" t="inlineStr">
        <is>
          <t>1 – Client Intake</t>
        </is>
      </c>
      <c r="C5" s="35" t="inlineStr">
        <is>
          <t>INTAKE</t>
        </is>
      </c>
      <c r="D5" s="36" t="inlineStr">
        <is>
          <t>Company Profile</t>
        </is>
      </c>
      <c r="E5" s="36" t="inlineStr">
        <is>
          <t>What industry/sector is the client in, and approximately how large are they (employee count and/or annual revenue)?</t>
        </is>
      </c>
      <c r="F5" s="35" t="inlineStr">
        <is>
          <t>Free Text</t>
        </is>
      </c>
      <c r="G5" s="35" t="inlineStr">
        <is>
          <t>Y</t>
        </is>
      </c>
      <c r="H5" s="37" t="n"/>
      <c r="I5" s="38">
        <f>IF(TRIM(H5)&lt;&gt;"","✓ Answered",IF(G5="Y","⚠ Missing – AI Follow-Up","— Optional (not answered)"))</f>
        <v/>
      </c>
    </row>
    <row r="6" ht="23.25" customHeight="1" s="29">
      <c r="A6" s="35" t="inlineStr">
        <is>
          <t>INTAKE-005</t>
        </is>
      </c>
      <c r="B6" s="35" t="inlineStr">
        <is>
          <t>1 – Client Intake</t>
        </is>
      </c>
      <c r="C6" s="35" t="inlineStr">
        <is>
          <t>INTAKE</t>
        </is>
      </c>
      <c r="D6" s="36" t="inlineStr">
        <is>
          <t>Company Profile</t>
        </is>
      </c>
      <c r="E6" s="36" t="inlineStr">
        <is>
          <t>Roughly how many legal entities, subsidiaries, or locations does the client operate?</t>
        </is>
      </c>
      <c r="F6" s="35" t="inlineStr">
        <is>
          <t>Free Text</t>
        </is>
      </c>
      <c r="G6" s="35" t="inlineStr">
        <is>
          <t>N</t>
        </is>
      </c>
      <c r="H6" s="37" t="n"/>
      <c r="I6" s="38">
        <f>IF(TRIM(H6)&lt;&gt;"","✓ Answered",IF(G6="Y","⚠ Missing – AI Follow-Up","— Optional (not answered)"))</f>
        <v/>
      </c>
    </row>
    <row r="7" ht="23.25" customHeight="1" s="29">
      <c r="A7" s="35" t="inlineStr">
        <is>
          <t>INTAKE-006</t>
        </is>
      </c>
      <c r="B7" s="35" t="inlineStr">
        <is>
          <t>1 – Client Intake</t>
        </is>
      </c>
      <c r="C7" s="35" t="inlineStr">
        <is>
          <t>INTAKE</t>
        </is>
      </c>
      <c r="D7" s="36" t="inlineStr">
        <is>
          <t>Current Environment</t>
        </is>
      </c>
      <c r="E7" s="36" t="inlineStr">
        <is>
          <t>What ERP or financial system(s) is the client currently using, and are they still under contract/support?</t>
        </is>
      </c>
      <c r="F7" s="35" t="inlineStr">
        <is>
          <t>Free Text</t>
        </is>
      </c>
      <c r="G7" s="35" t="inlineStr">
        <is>
          <t>Y</t>
        </is>
      </c>
      <c r="H7" s="37" t="n"/>
      <c r="I7" s="38">
        <f>IF(TRIM(H7)&lt;&gt;"","✓ Answered",IF(G7="Y","⚠ Missing – AI Follow-Up","— Optional (not answered)"))</f>
        <v/>
      </c>
    </row>
    <row r="8" ht="23.25" customHeight="1" s="29">
      <c r="A8" s="35" t="inlineStr">
        <is>
          <t>INTAKE-007</t>
        </is>
      </c>
      <c r="B8" s="35" t="inlineStr">
        <is>
          <t>1 – Client Intake</t>
        </is>
      </c>
      <c r="C8" s="35" t="inlineStr">
        <is>
          <t>INTAKE</t>
        </is>
      </c>
      <c r="D8" s="36" t="inlineStr">
        <is>
          <t>Current Environment</t>
        </is>
      </c>
      <c r="E8" s="36" t="inlineStr">
        <is>
          <t>Are there other systems already in place that will need to integrate with Oracle Fusion (e.g., payroll, procurement, banking, CRM)?</t>
        </is>
      </c>
      <c r="F8" s="35" t="inlineStr">
        <is>
          <t>Free Text</t>
        </is>
      </c>
      <c r="G8" s="35" t="inlineStr">
        <is>
          <t>N</t>
        </is>
      </c>
      <c r="H8" s="37" t="n"/>
      <c r="I8" s="38">
        <f>IF(TRIM(H8)&lt;&gt;"","✓ Answered",IF(G8="Y","⚠ Missing – AI Follow-Up","— Optional (not answered)"))</f>
        <v/>
      </c>
    </row>
    <row r="9" ht="23.25" customHeight="1" s="29">
      <c r="A9" s="35" t="inlineStr">
        <is>
          <t>INTAKE-008</t>
        </is>
      </c>
      <c r="B9" s="35" t="inlineStr">
        <is>
          <t>1 – Client Intake</t>
        </is>
      </c>
      <c r="C9" s="35" t="inlineStr">
        <is>
          <t>INTAKE</t>
        </is>
      </c>
      <c r="D9" s="36" t="inlineStr">
        <is>
          <t>Reason for Engagement</t>
        </is>
      </c>
      <c r="E9" s="36" t="inlineStr">
        <is>
          <t>What prompted the client to reach out now (e.g., system end-of-life, growth, compliance, M&amp;A, dissatisfaction with current provider)?</t>
        </is>
      </c>
      <c r="F9" s="35" t="inlineStr">
        <is>
          <t>Free Text</t>
        </is>
      </c>
      <c r="G9" s="35" t="inlineStr">
        <is>
          <t>Y</t>
        </is>
      </c>
      <c r="H9" s="37" t="n"/>
      <c r="I9" s="38">
        <f>IF(TRIM(H9)&lt;&gt;"","✓ Answered",IF(G9="Y","⚠ Missing – AI Follow-Up","— Optional (not answered)"))</f>
        <v/>
      </c>
    </row>
    <row r="10" ht="15" customHeight="1" s="29">
      <c r="A10" s="35" t="inlineStr">
        <is>
          <t>INTAKE-009</t>
        </is>
      </c>
      <c r="B10" s="35" t="inlineStr">
        <is>
          <t>1 – Client Intake</t>
        </is>
      </c>
      <c r="C10" s="35" t="inlineStr">
        <is>
          <t>INTAKE</t>
        </is>
      </c>
      <c r="D10" s="36" t="inlineStr">
        <is>
          <t>Reason for Engagement</t>
        </is>
      </c>
      <c r="E10" s="36" t="inlineStr">
        <is>
          <t>What does the client consider their biggest pain point today?</t>
        </is>
      </c>
      <c r="F10" s="35" t="inlineStr">
        <is>
          <t>Free Text</t>
        </is>
      </c>
      <c r="G10" s="35" t="inlineStr">
        <is>
          <t>N</t>
        </is>
      </c>
      <c r="H10" s="37" t="n"/>
      <c r="I10" s="38">
        <f>IF(TRIM(H10)&lt;&gt;"","✓ Answered",IF(G10="Y","⚠ Missing – AI Follow-Up","— Optional (not answered)"))</f>
        <v/>
      </c>
    </row>
    <row r="11" ht="23.25" customHeight="1" s="29">
      <c r="A11" s="35" t="inlineStr">
        <is>
          <t>INTAKE-010</t>
        </is>
      </c>
      <c r="B11" s="35" t="inlineStr">
        <is>
          <t>1 – Client Intake</t>
        </is>
      </c>
      <c r="C11" s="35" t="inlineStr">
        <is>
          <t>INTAKE</t>
        </is>
      </c>
      <c r="D11" s="36" t="inlineStr">
        <is>
          <t>Timeline &amp; Constraints</t>
        </is>
      </c>
      <c r="E11" s="36" t="inlineStr">
        <is>
          <t>Is there a target go-live date or an external deadline driving the timeline (e.g., fiscal year-end, contract expiration)?</t>
        </is>
      </c>
      <c r="F11" s="35" t="inlineStr">
        <is>
          <t>Free Text</t>
        </is>
      </c>
      <c r="G11" s="35" t="inlineStr">
        <is>
          <t>N</t>
        </is>
      </c>
      <c r="H11" s="37" t="n"/>
      <c r="I11" s="38">
        <f>IF(TRIM(H11)&lt;&gt;"","✓ Answered",IF(G11="Y","⚠ Missing – AI Follow-Up","— Optional (not answered)"))</f>
        <v/>
      </c>
    </row>
    <row r="12" ht="34.5" customHeight="1" s="29">
      <c r="A12" s="39" t="inlineStr">
        <is>
          <t>QUAL-GL</t>
        </is>
      </c>
      <c r="B12" s="39" t="inlineStr">
        <is>
          <t>2 – Needs &amp; Wants (Scope)</t>
        </is>
      </c>
      <c r="C12" s="39" t="inlineStr">
        <is>
          <t>GL</t>
        </is>
      </c>
      <c r="D12" s="39" t="inlineStr">
        <is>
          <t>Module Scoping</t>
        </is>
      </c>
      <c r="E12" s="40" t="inlineStr">
        <is>
          <t>Is General Ledger required as the core financial system of record? (GL is the foundation module for every Fusion Financials implementation and is always in scope.)</t>
        </is>
      </c>
      <c r="F12" s="39" t="inlineStr">
        <is>
          <t>Yes/No</t>
        </is>
      </c>
      <c r="G12" s="39" t="inlineStr">
        <is>
          <t>Y</t>
        </is>
      </c>
      <c r="H12" s="41" t="inlineStr">
        <is>
          <t>Yes</t>
        </is>
      </c>
      <c r="I12" s="38">
        <f>IF(TRIM(H12)&lt;&gt;"","✓ Answered","⚠ Missing – AI Follow-Up")</f>
        <v/>
      </c>
    </row>
    <row r="13" ht="23.25" customHeight="1" s="29">
      <c r="A13" s="39" t="inlineStr">
        <is>
          <t>QUAL-AP</t>
        </is>
      </c>
      <c r="B13" s="39" t="inlineStr">
        <is>
          <t>2 – Needs &amp; Wants (Scope)</t>
        </is>
      </c>
      <c r="C13" s="39" t="inlineStr">
        <is>
          <t>AP</t>
        </is>
      </c>
      <c r="D13" s="39" t="inlineStr">
        <is>
          <t>Module Scoping</t>
        </is>
      </c>
      <c r="E13" s="40" t="inlineStr">
        <is>
          <t>Does the organization process vendor/supplier invoices and issue payments to suppliers?</t>
        </is>
      </c>
      <c r="F13" s="39" t="inlineStr">
        <is>
          <t>Yes/No</t>
        </is>
      </c>
      <c r="G13" s="39" t="inlineStr">
        <is>
          <t>Y</t>
        </is>
      </c>
      <c r="H13" s="41" t="n"/>
      <c r="I13" s="38">
        <f>IF(TRIM(H13)&lt;&gt;"","✓ Answered","⚠ Missing – AI Follow-Up")</f>
        <v/>
      </c>
    </row>
    <row r="14" ht="23.25" customHeight="1" s="29">
      <c r="A14" s="39" t="inlineStr">
        <is>
          <t>QUAL-AR</t>
        </is>
      </c>
      <c r="B14" s="39" t="inlineStr">
        <is>
          <t>2 – Needs &amp; Wants (Scope)</t>
        </is>
      </c>
      <c r="C14" s="39" t="inlineStr">
        <is>
          <t>AR</t>
        </is>
      </c>
      <c r="D14" s="39" t="inlineStr">
        <is>
          <t>Module Scoping</t>
        </is>
      </c>
      <c r="E14" s="40" t="inlineStr">
        <is>
          <t>Does the organization invoice customers and manage receivables, collections, or billing?</t>
        </is>
      </c>
      <c r="F14" s="39" t="inlineStr">
        <is>
          <t>Yes/No</t>
        </is>
      </c>
      <c r="G14" s="39" t="inlineStr">
        <is>
          <t>Y</t>
        </is>
      </c>
      <c r="H14" s="41" t="n"/>
      <c r="I14" s="38">
        <f>IF(TRIM(H14)&lt;&gt;"","✓ Answered","⚠ Missing – AI Follow-Up")</f>
        <v/>
      </c>
    </row>
    <row r="15" ht="23.25" customHeight="1" s="29">
      <c r="A15" s="39" t="inlineStr">
        <is>
          <t>QUAL-FA</t>
        </is>
      </c>
      <c r="B15" s="39" t="inlineStr">
        <is>
          <t>2 – Needs &amp; Wants (Scope)</t>
        </is>
      </c>
      <c r="C15" s="39" t="inlineStr">
        <is>
          <t>FA</t>
        </is>
      </c>
      <c r="D15" s="39" t="inlineStr">
        <is>
          <t>Module Scoping</t>
        </is>
      </c>
      <c r="E15" s="40" t="inlineStr">
        <is>
          <t>Does the organization need to track, depreciate, transfer, or dispose of capital/fixed assets?</t>
        </is>
      </c>
      <c r="F15" s="39" t="inlineStr">
        <is>
          <t>Yes/No</t>
        </is>
      </c>
      <c r="G15" s="39" t="inlineStr">
        <is>
          <t>Y</t>
        </is>
      </c>
      <c r="H15" s="41" t="n"/>
      <c r="I15" s="38">
        <f>IF(TRIM(H15)&lt;&gt;"","✓ Answered","⚠ Missing – AI Follow-Up")</f>
        <v/>
      </c>
    </row>
    <row r="16" ht="23.25" customHeight="1" s="29">
      <c r="A16" s="39" t="inlineStr">
        <is>
          <t>QUAL-CM</t>
        </is>
      </c>
      <c r="B16" s="39" t="inlineStr">
        <is>
          <t>2 – Needs &amp; Wants (Scope)</t>
        </is>
      </c>
      <c r="C16" s="39" t="inlineStr">
        <is>
          <t>CM</t>
        </is>
      </c>
      <c r="D16" s="39" t="inlineStr">
        <is>
          <t>Module Scoping</t>
        </is>
      </c>
      <c r="E16" s="40" t="inlineStr">
        <is>
          <t>Does the organization require bank statement reconciliation, cash positioning, or cash forecasting?</t>
        </is>
      </c>
      <c r="F16" s="39" t="inlineStr">
        <is>
          <t>Yes/No</t>
        </is>
      </c>
      <c r="G16" s="39" t="inlineStr">
        <is>
          <t>Y</t>
        </is>
      </c>
      <c r="H16" s="41" t="n"/>
      <c r="I16" s="38">
        <f>IF(TRIM(H16)&lt;&gt;"","✓ Answered","⚠ Missing – AI Follow-Up")</f>
        <v/>
      </c>
    </row>
    <row r="17" ht="23.25" customHeight="1" s="29">
      <c r="A17" s="39" t="inlineStr">
        <is>
          <t>QUAL-MULTI</t>
        </is>
      </c>
      <c r="B17" s="39" t="inlineStr">
        <is>
          <t>2 – Needs &amp; Wants (Scope)</t>
        </is>
      </c>
      <c r="C17" s="39" t="inlineStr">
        <is>
          <t>GL</t>
        </is>
      </c>
      <c r="D17" s="39" t="inlineStr">
        <is>
          <t>Module Scoping</t>
        </is>
      </c>
      <c r="E17" s="40" t="inlineStr">
        <is>
          <t>Will multiple legal entities or business units require consolidated financial reporting?</t>
        </is>
      </c>
      <c r="F17" s="39" t="inlineStr">
        <is>
          <t>Yes/No</t>
        </is>
      </c>
      <c r="G17" s="39" t="inlineStr">
        <is>
          <t>Y</t>
        </is>
      </c>
      <c r="H17" s="41" t="n"/>
      <c r="I17" s="38">
        <f>IF(TRIM(H17)&lt;&gt;"","✓ Answered","⚠ Missing – AI Follow-Up")</f>
        <v/>
      </c>
    </row>
    <row r="18" ht="23.25" customHeight="1" s="29">
      <c r="A18" s="42" t="inlineStr">
        <is>
          <t>GL-001</t>
        </is>
      </c>
      <c r="B18" s="42" t="inlineStr">
        <is>
          <t>3 – Detailed Discovery (Follow-Up)</t>
        </is>
      </c>
      <c r="C18" s="42" t="inlineStr">
        <is>
          <t>GL</t>
        </is>
      </c>
      <c r="D18" s="43" t="inlineStr">
        <is>
          <t>Enterprise Structure &amp; Foundation</t>
        </is>
      </c>
      <c r="E18" s="43" t="inlineStr">
        <is>
          <t>What are the legal names, official addresses, Tax IDs, and specific statutory reporting obligations for each legal entity and business unit?</t>
        </is>
      </c>
      <c r="F18" s="42" t="inlineStr">
        <is>
          <t>Free Text</t>
        </is>
      </c>
      <c r="G18" s="42" t="inlineStr">
        <is>
          <t>Y</t>
        </is>
      </c>
      <c r="H18" s="37" t="n"/>
      <c r="I18" s="38">
        <f>IF(TRIM(H18)&lt;&gt;"","✓ Answered",IF(G18="Y","⚠ Missing – AI Follow-Up","— Optional (not answered)"))</f>
        <v/>
      </c>
    </row>
    <row r="19" ht="23.25" customHeight="1" s="29">
      <c r="A19" s="42" t="inlineStr">
        <is>
          <t>GL-002</t>
        </is>
      </c>
      <c r="B19" s="42" t="inlineStr">
        <is>
          <t>3 – Detailed Discovery (Follow-Up)</t>
        </is>
      </c>
      <c r="C19" s="42" t="inlineStr">
        <is>
          <t>GL</t>
        </is>
      </c>
      <c r="D19" s="43" t="inlineStr">
        <is>
          <t>Enterprise Structure &amp; Foundation</t>
        </is>
      </c>
      <c r="E19" s="43" t="inlineStr">
        <is>
          <t>What is your primary currency, and will you require multi-currency accounting? What accounting methods (e.g., accrual, modified accrual, cash) are required?</t>
        </is>
      </c>
      <c r="F19" s="42" t="inlineStr">
        <is>
          <t>Free Text</t>
        </is>
      </c>
      <c r="G19" s="42" t="inlineStr">
        <is>
          <t>Y</t>
        </is>
      </c>
      <c r="H19" s="37" t="n"/>
      <c r="I19" s="38">
        <f>IF(TRIM(H19)&lt;&gt;"","✓ Answered",IF(G19="Y","⚠ Missing – AI Follow-Up","— Optional (not answered)"))</f>
        <v/>
      </c>
    </row>
    <row r="20" ht="34.5" customHeight="1" s="29">
      <c r="A20" s="42" t="inlineStr">
        <is>
          <t>GL-003</t>
        </is>
      </c>
      <c r="B20" s="42" t="inlineStr">
        <is>
          <t>3 – Detailed Discovery (Follow-Up)</t>
        </is>
      </c>
      <c r="C20" s="42" t="inlineStr">
        <is>
          <t>GL</t>
        </is>
      </c>
      <c r="D20" s="43" t="inlineStr">
        <is>
          <t>Enterprise Structure &amp; Foundation</t>
        </is>
      </c>
      <c r="E20" s="43" t="inlineStr">
        <is>
          <t>What level of physical location tracking is needed (e.g., building, room), and does location data need to integrate with external systems like IT help desk or asset tracking software?</t>
        </is>
      </c>
      <c r="F20" s="42" t="inlineStr">
        <is>
          <t>Free Text</t>
        </is>
      </c>
      <c r="G20" s="42" t="inlineStr">
        <is>
          <t>N</t>
        </is>
      </c>
      <c r="H20" s="37" t="n"/>
      <c r="I20" s="38">
        <f>IF(TRIM(H20)&lt;&gt;"","✓ Answered",IF(G20="Y","⚠ Missing – AI Follow-Up","— Optional (not answered)"))</f>
        <v/>
      </c>
    </row>
    <row r="21" ht="23.25" customHeight="1" s="29">
      <c r="A21" s="42" t="inlineStr">
        <is>
          <t>GL-004</t>
        </is>
      </c>
      <c r="B21" s="42" t="inlineStr">
        <is>
          <t>3 – Detailed Discovery (Follow-Up)</t>
        </is>
      </c>
      <c r="C21" s="42" t="inlineStr">
        <is>
          <t>GL</t>
        </is>
      </c>
      <c r="D21" s="43" t="inlineStr">
        <is>
          <t>Chart of Accounts (COA) &amp; Governance</t>
        </is>
      </c>
      <c r="E21" s="43" t="inlineStr">
        <is>
          <t>Does the proposed segment structure (Fund, Cost Center, Subsidiary, Natural Account, Activity, Future 1) cover all operational and reporting needs?</t>
        </is>
      </c>
      <c r="F21" s="42" t="inlineStr">
        <is>
          <t>Free Text</t>
        </is>
      </c>
      <c r="G21" s="42" t="inlineStr">
        <is>
          <t>Y</t>
        </is>
      </c>
      <c r="H21" s="37" t="n"/>
      <c r="I21" s="38">
        <f>IF(TRIM(H21)&lt;&gt;"","✓ Answered",IF(G21="Y","⚠ Missing – AI Follow-Up","— Optional (not answered)"))</f>
        <v/>
      </c>
    </row>
    <row r="22" ht="23.25" customHeight="1" s="29">
      <c r="A22" s="42" t="inlineStr">
        <is>
          <t>GL-005</t>
        </is>
      </c>
      <c r="B22" s="42" t="inlineStr">
        <is>
          <t>3 – Detailed Discovery (Follow-Up)</t>
        </is>
      </c>
      <c r="C22" s="42" t="inlineStr">
        <is>
          <t>GL</t>
        </is>
      </c>
      <c r="D22" s="43" t="inlineStr">
        <is>
          <t>Chart of Accounts (COA) &amp; Governance</t>
        </is>
      </c>
      <c r="E22" s="43" t="inlineStr">
        <is>
          <t>Should the system allow dynamic creation of new account combinations during entry, or should all combinations be manually created and approved by Finance?</t>
        </is>
      </c>
      <c r="F22" s="42" t="inlineStr">
        <is>
          <t>Free Text</t>
        </is>
      </c>
      <c r="G22" s="42" t="inlineStr">
        <is>
          <t>Y</t>
        </is>
      </c>
      <c r="H22" s="37" t="n"/>
      <c r="I22" s="38">
        <f>IF(TRIM(H22)&lt;&gt;"","✓ Answered",IF(G22="Y","⚠ Missing – AI Follow-Up","— Optional (not answered)"))</f>
        <v/>
      </c>
    </row>
    <row r="23" ht="45.75" customHeight="1" s="29">
      <c r="A23" s="42" t="inlineStr">
        <is>
          <t>GL-006</t>
        </is>
      </c>
      <c r="B23" s="42" t="inlineStr">
        <is>
          <t>3 – Detailed Discovery (Follow-Up)</t>
        </is>
      </c>
      <c r="C23" s="42" t="inlineStr">
        <is>
          <t>GL</t>
        </is>
      </c>
      <c r="D23" s="43" t="inlineStr">
        <is>
          <t>Chart of Accounts (COA) &amp; Governance</t>
        </is>
      </c>
      <c r="E23" s="43" t="inlineStr">
        <is>
          <t>What specific cross-validation rules should exist to block invalid segment combinations (e.g., restricting certain cost centers to specific natural accounts)? Which departments need access restricted to only their specific account segments?</t>
        </is>
      </c>
      <c r="F23" s="42" t="inlineStr">
        <is>
          <t>Free Text</t>
        </is>
      </c>
      <c r="G23" s="42" t="inlineStr">
        <is>
          <t>Y</t>
        </is>
      </c>
      <c r="H23" s="37" t="n"/>
      <c r="I23" s="38">
        <f>IF(TRIM(H23)&lt;&gt;"","✓ Answered",IF(G23="Y","⚠ Missing – AI Follow-Up","— Optional (not answered)"))</f>
        <v/>
      </c>
    </row>
    <row r="24" ht="23.25" customHeight="1" s="29">
      <c r="A24" s="42" t="inlineStr">
        <is>
          <t>GL-007</t>
        </is>
      </c>
      <c r="B24" s="42" t="inlineStr">
        <is>
          <t>3 – Detailed Discovery (Follow-Up)</t>
        </is>
      </c>
      <c r="C24" s="42" t="inlineStr">
        <is>
          <t>GL</t>
        </is>
      </c>
      <c r="D24" s="43" t="inlineStr">
        <is>
          <t>Chart of Accounts (COA) &amp; Governance</t>
        </is>
      </c>
      <c r="E24" s="43" t="inlineStr">
        <is>
          <t>What is the formal workflow, approval path, or board requirement for adding new projects, funds, or segment values?</t>
        </is>
      </c>
      <c r="F24" s="42" t="inlineStr">
        <is>
          <t>Free Text</t>
        </is>
      </c>
      <c r="G24" s="42" t="inlineStr">
        <is>
          <t>Y</t>
        </is>
      </c>
      <c r="H24" s="37" t="n"/>
      <c r="I24" s="38">
        <f>IF(TRIM(H24)&lt;&gt;"","✓ Answered",IF(G24="Y","⚠ Missing – AI Follow-Up","— Optional (not answered)"))</f>
        <v/>
      </c>
    </row>
    <row r="25" ht="23.25" customHeight="1" s="29">
      <c r="A25" s="42" t="inlineStr">
        <is>
          <t>GL-008</t>
        </is>
      </c>
      <c r="B25" s="42" t="inlineStr">
        <is>
          <t>3 – Detailed Discovery (Follow-Up)</t>
        </is>
      </c>
      <c r="C25" s="42" t="inlineStr">
        <is>
          <t>GL</t>
        </is>
      </c>
      <c r="D25" s="43" t="inlineStr">
        <is>
          <t>Accounting Calendar &amp; Period Management</t>
        </is>
      </c>
      <c r="E25" s="43" t="inlineStr">
        <is>
          <t>Does your fiscal year follow the standard calendar year or a custom fiscal period?</t>
        </is>
      </c>
      <c r="F25" s="42" t="inlineStr">
        <is>
          <t>Free Text</t>
        </is>
      </c>
      <c r="G25" s="42" t="inlineStr">
        <is>
          <t>Y</t>
        </is>
      </c>
      <c r="H25" s="37" t="n"/>
      <c r="I25" s="38">
        <f>IF(TRIM(H25)&lt;&gt;"","✓ Answered",IF(G25="Y","⚠ Missing – AI Follow-Up","— Optional (not answered)"))</f>
        <v/>
      </c>
    </row>
    <row r="26" ht="23.25" customHeight="1" s="29">
      <c r="A26" s="42" t="inlineStr">
        <is>
          <t>GL-009</t>
        </is>
      </c>
      <c r="B26" s="42" t="inlineStr">
        <is>
          <t>3 – Detailed Discovery (Follow-Up)</t>
        </is>
      </c>
      <c r="C26" s="42" t="inlineStr">
        <is>
          <t>GL</t>
        </is>
      </c>
      <c r="D26" s="43" t="inlineStr">
        <is>
          <t>Accounting Calendar &amp; Period Management</t>
        </is>
      </c>
      <c r="E26" s="43" t="inlineStr">
        <is>
          <t>Do you require one adjusting period at year-end or two separate periods (e.g., one for internal year-end adjustments and one for external audit adjustments)?</t>
        </is>
      </c>
      <c r="F26" s="42" t="inlineStr">
        <is>
          <t>Free Text</t>
        </is>
      </c>
      <c r="G26" s="42" t="inlineStr">
        <is>
          <t>Y</t>
        </is>
      </c>
      <c r="H26" s="37" t="n"/>
      <c r="I26" s="38">
        <f>IF(TRIM(H26)&lt;&gt;"","✓ Answered",IF(G26="Y","⚠ Missing – AI Follow-Up","— Optional (not answered)"))</f>
        <v/>
      </c>
    </row>
    <row r="27" ht="23.25" customHeight="1" s="29">
      <c r="A27" s="42" t="inlineStr">
        <is>
          <t>GL-010</t>
        </is>
      </c>
      <c r="B27" s="42" t="inlineStr">
        <is>
          <t>3 – Detailed Discovery (Follow-Up)</t>
        </is>
      </c>
      <c r="C27" s="42" t="inlineStr">
        <is>
          <t>GL</t>
        </is>
      </c>
      <c r="D27" s="43" t="inlineStr">
        <is>
          <t>Accounting Calendar &amp; Period Management</t>
        </is>
      </c>
      <c r="E27" s="43" t="inlineStr">
        <is>
          <t>What are your policies regarding soft-closing periods, reopening prior periods, and managing future-entry statuses?</t>
        </is>
      </c>
      <c r="F27" s="42" t="inlineStr">
        <is>
          <t>Free Text</t>
        </is>
      </c>
      <c r="G27" s="42" t="inlineStr">
        <is>
          <t>Y</t>
        </is>
      </c>
      <c r="H27" s="37" t="n"/>
      <c r="I27" s="38">
        <f>IF(TRIM(H27)&lt;&gt;"","✓ Answered",IF(G27="Y","⚠ Missing – AI Follow-Up","— Optional (not answered)"))</f>
        <v/>
      </c>
    </row>
    <row r="28" ht="23.25" customHeight="1" s="29">
      <c r="A28" s="42" t="inlineStr">
        <is>
          <t>GL-011</t>
        </is>
      </c>
      <c r="B28" s="42" t="inlineStr">
        <is>
          <t>3 – Detailed Discovery (Follow-Up)</t>
        </is>
      </c>
      <c r="C28" s="42" t="inlineStr">
        <is>
          <t>GL</t>
        </is>
      </c>
      <c r="D28" s="43" t="inlineStr">
        <is>
          <t>Journal Entries &amp; Approval Workflows</t>
        </is>
      </c>
      <c r="E28" s="43" t="inlineStr">
        <is>
          <t>What types of manual journals do you enter (e.g., accruals, reclassifications, interfund billings)?</t>
        </is>
      </c>
      <c r="F28" s="42" t="inlineStr">
        <is>
          <t>Free Text</t>
        </is>
      </c>
      <c r="G28" s="42" t="inlineStr">
        <is>
          <t>Y</t>
        </is>
      </c>
      <c r="H28" s="37" t="n"/>
      <c r="I28" s="38">
        <f>IF(TRIM(H28)&lt;&gt;"","✓ Answered",IF(G28="Y","⚠ Missing – AI Follow-Up","— Optional (not answered)"))</f>
        <v/>
      </c>
    </row>
    <row r="29" ht="23.25" customHeight="1" s="29">
      <c r="A29" s="42" t="inlineStr">
        <is>
          <t>GL-012</t>
        </is>
      </c>
      <c r="B29" s="42" t="inlineStr">
        <is>
          <t>3 – Detailed Discovery (Follow-Up)</t>
        </is>
      </c>
      <c r="C29" s="42" t="inlineStr">
        <is>
          <t>GL</t>
        </is>
      </c>
      <c r="D29" s="43" t="inlineStr">
        <is>
          <t>Journal Entries &amp; Approval Workflows</t>
        </is>
      </c>
      <c r="E29" s="43" t="inlineStr">
        <is>
          <t>What are the dollar thresholds, role hierarchies, or department-specific rules that dictate who must approve a journal before posting?</t>
        </is>
      </c>
      <c r="F29" s="42" t="inlineStr">
        <is>
          <t>Free Text</t>
        </is>
      </c>
      <c r="G29" s="42" t="inlineStr">
        <is>
          <t>Y</t>
        </is>
      </c>
      <c r="H29" s="37" t="n"/>
      <c r="I29" s="38">
        <f>IF(TRIM(H29)&lt;&gt;"","✓ Answered",IF(G29="Y","⚠ Missing – AI Follow-Up","— Optional (not answered)"))</f>
        <v/>
      </c>
    </row>
    <row r="30" ht="34.5" customHeight="1" s="29">
      <c r="A30" s="42" t="inlineStr">
        <is>
          <t>GL-013</t>
        </is>
      </c>
      <c r="B30" s="42" t="inlineStr">
        <is>
          <t>3 – Detailed Discovery (Follow-Up)</t>
        </is>
      </c>
      <c r="C30" s="42" t="inlineStr">
        <is>
          <t>GL</t>
        </is>
      </c>
      <c r="D30" s="43" t="inlineStr">
        <is>
          <t>Journal Entries &amp; Approval Workflows</t>
        </is>
      </c>
      <c r="E30" s="43" t="inlineStr">
        <is>
          <t>Which subledgers (Payables, Receivables, Fixed Assets, Projects) should post automatically to the General Ledger versus requiring manual review before posting?</t>
        </is>
      </c>
      <c r="F30" s="42" t="inlineStr">
        <is>
          <t>Free Text</t>
        </is>
      </c>
      <c r="G30" s="42" t="inlineStr">
        <is>
          <t>Y</t>
        </is>
      </c>
      <c r="H30" s="37" t="n"/>
      <c r="I30" s="38">
        <f>IF(TRIM(H30)&lt;&gt;"","✓ Answered",IF(G30="Y","⚠ Missing – AI Follow-Up","— Optional (not answered)"))</f>
        <v/>
      </c>
    </row>
    <row r="31" ht="34.5" customHeight="1" s="29">
      <c r="A31" s="42" t="inlineStr">
        <is>
          <t>GL-014</t>
        </is>
      </c>
      <c r="B31" s="42" t="inlineStr">
        <is>
          <t>3 – Detailed Discovery (Follow-Up)</t>
        </is>
      </c>
      <c r="C31" s="42" t="inlineStr">
        <is>
          <t>GL</t>
        </is>
      </c>
      <c r="D31" s="43" t="inlineStr">
        <is>
          <t>Journal Entries &amp; Approval Workflows</t>
        </is>
      </c>
      <c r="E31" s="43" t="inlineStr">
        <is>
          <t>Which departments require automatic reversals for accruals, and are there exceptions (e.g., specialized grant or health departments) that need manual or delayed reversals?</t>
        </is>
      </c>
      <c r="F31" s="42" t="inlineStr">
        <is>
          <t>Free Text</t>
        </is>
      </c>
      <c r="G31" s="42" t="inlineStr">
        <is>
          <t>N</t>
        </is>
      </c>
      <c r="H31" s="37" t="n"/>
      <c r="I31" s="38">
        <f>IF(TRIM(H31)&lt;&gt;"","✓ Answered",IF(G31="Y","⚠ Missing – AI Follow-Up","— Optional (not answered)"))</f>
        <v/>
      </c>
    </row>
    <row r="32" ht="23.25" customHeight="1" s="29">
      <c r="A32" s="42" t="inlineStr">
        <is>
          <t>GL-015</t>
        </is>
      </c>
      <c r="B32" s="42" t="inlineStr">
        <is>
          <t>3 – Detailed Discovery (Follow-Up)</t>
        </is>
      </c>
      <c r="C32" s="42" t="inlineStr">
        <is>
          <t>GL</t>
        </is>
      </c>
      <c r="D32" s="43" t="inlineStr">
        <is>
          <t>Budgeting &amp; Budgetary Control</t>
        </is>
      </c>
      <c r="E32" s="43" t="inlineStr">
        <is>
          <t>What stages/versions of the budget need to be tracked in the system (e.g., Proposed, Executive, Adopted, Amended)?</t>
        </is>
      </c>
      <c r="F32" s="42" t="inlineStr">
        <is>
          <t>Free Text</t>
        </is>
      </c>
      <c r="G32" s="42" t="inlineStr">
        <is>
          <t>Y</t>
        </is>
      </c>
      <c r="H32" s="37" t="n"/>
      <c r="I32" s="38">
        <f>IF(TRIM(H32)&lt;&gt;"","✓ Answered",IF(G32="Y","⚠ Missing – AI Follow-Up","— Optional (not answered)"))</f>
        <v/>
      </c>
    </row>
    <row r="33" ht="23.25" customHeight="1" s="29">
      <c r="A33" s="42" t="inlineStr">
        <is>
          <t>GL-016</t>
        </is>
      </c>
      <c r="B33" s="42" t="inlineStr">
        <is>
          <t>3 – Detailed Discovery (Follow-Up)</t>
        </is>
      </c>
      <c r="C33" s="42" t="inlineStr">
        <is>
          <t>GL</t>
        </is>
      </c>
      <c r="D33" s="43" t="inlineStr">
        <is>
          <t>Budgeting &amp; Budgetary Control</t>
        </is>
      </c>
      <c r="E33" s="43" t="inlineStr">
        <is>
          <t>At what roll-up level (e.g., Fund, Cost Center, Department) should the system enforce spending limits?</t>
        </is>
      </c>
      <c r="F33" s="42" t="inlineStr">
        <is>
          <t>Free Text</t>
        </is>
      </c>
      <c r="G33" s="42" t="inlineStr">
        <is>
          <t>Y</t>
        </is>
      </c>
      <c r="H33" s="37" t="n"/>
      <c r="I33" s="38">
        <f>IF(TRIM(H33)&lt;&gt;"","✓ Answered",IF(G33="Y","⚠ Missing – AI Follow-Up","— Optional (not answered)"))</f>
        <v/>
      </c>
    </row>
    <row r="34" ht="23.25" customHeight="1" s="29">
      <c r="A34" s="42" t="inlineStr">
        <is>
          <t>GL-017</t>
        </is>
      </c>
      <c r="B34" s="42" t="inlineStr">
        <is>
          <t>3 – Detailed Discovery (Follow-Up)</t>
        </is>
      </c>
      <c r="C34" s="42" t="inlineStr">
        <is>
          <t>GL</t>
        </is>
      </c>
      <c r="D34" s="43" t="inlineStr">
        <is>
          <t>Budgeting &amp; Budgetary Control</t>
        </is>
      </c>
      <c r="E34" s="43" t="inlineStr">
        <is>
          <t>Which accounts require an Absolute block on overspending versus an Advisory warning (e.g., advisory for wages/fringes vs. absolute for operational expenses)?</t>
        </is>
      </c>
      <c r="F34" s="42" t="inlineStr">
        <is>
          <t>Free Text</t>
        </is>
      </c>
      <c r="G34" s="42" t="inlineStr">
        <is>
          <t>Y</t>
        </is>
      </c>
      <c r="H34" s="37" t="n"/>
      <c r="I34" s="38">
        <f>IF(TRIM(H34)&lt;&gt;"","✓ Answered",IF(G34="Y","⚠ Missing – AI Follow-Up","— Optional (not answered)"))</f>
        <v/>
      </c>
    </row>
    <row r="35" ht="23.25" customHeight="1" s="29">
      <c r="A35" s="42" t="inlineStr">
        <is>
          <t>GL-018</t>
        </is>
      </c>
      <c r="B35" s="42" t="inlineStr">
        <is>
          <t>3 – Detailed Discovery (Follow-Up)</t>
        </is>
      </c>
      <c r="C35" s="42" t="inlineStr">
        <is>
          <t>GL</t>
        </is>
      </c>
      <c r="D35" s="43" t="inlineStr">
        <is>
          <t>Budgeting &amp; Budgetary Control</t>
        </is>
      </c>
      <c r="E35" s="43" t="inlineStr">
        <is>
          <t>Who holds the authority to grant budget overrides when transactions exceed available funds?</t>
        </is>
      </c>
      <c r="F35" s="42" t="inlineStr">
        <is>
          <t>Free Text</t>
        </is>
      </c>
      <c r="G35" s="42" t="inlineStr">
        <is>
          <t>N</t>
        </is>
      </c>
      <c r="H35" s="37" t="n"/>
      <c r="I35" s="38">
        <f>IF(TRIM(H35)&lt;&gt;"","✓ Answered",IF(G35="Y","⚠ Missing – AI Follow-Up","— Optional (not answered)"))</f>
        <v/>
      </c>
    </row>
    <row r="36" ht="23.25" customHeight="1" s="29">
      <c r="A36" s="42" t="inlineStr">
        <is>
          <t>GL-019</t>
        </is>
      </c>
      <c r="B36" s="42" t="inlineStr">
        <is>
          <t>3 – Detailed Discovery (Follow-Up)</t>
        </is>
      </c>
      <c r="C36" s="42" t="inlineStr">
        <is>
          <t>GL</t>
        </is>
      </c>
      <c r="D36" s="43" t="inlineStr">
        <is>
          <t>Allocations</t>
        </is>
      </c>
      <c r="E36" s="43" t="inlineStr">
        <is>
          <t>What shared expenses (e.g., IT, facilities, administrative overhead) need to be distributed across departments or funds?</t>
        </is>
      </c>
      <c r="F36" s="42" t="inlineStr">
        <is>
          <t>Free Text</t>
        </is>
      </c>
      <c r="G36" s="42" t="inlineStr">
        <is>
          <t>N</t>
        </is>
      </c>
      <c r="H36" s="37" t="n"/>
      <c r="I36" s="38">
        <f>IF(TRIM(H36)&lt;&gt;"","✓ Answered",IF(G36="Y","⚠ Missing – AI Follow-Up","— Optional (not answered)"))</f>
        <v/>
      </c>
    </row>
    <row r="37" ht="23.25" customHeight="1" s="29">
      <c r="A37" s="42" t="inlineStr">
        <is>
          <t>GL-020</t>
        </is>
      </c>
      <c r="B37" s="42" t="inlineStr">
        <is>
          <t>3 – Detailed Discovery (Follow-Up)</t>
        </is>
      </c>
      <c r="C37" s="42" t="inlineStr">
        <is>
          <t>GL</t>
        </is>
      </c>
      <c r="D37" s="43" t="inlineStr">
        <is>
          <t>Allocations</t>
        </is>
      </c>
      <c r="E37" s="43" t="inlineStr">
        <is>
          <t>What are the distribution drivers for each allocation (e.g., fixed percentages, headcount, square footage, direct expenses, or statistical balances)?</t>
        </is>
      </c>
      <c r="F37" s="42" t="inlineStr">
        <is>
          <t>Free Text</t>
        </is>
      </c>
      <c r="G37" s="42" t="inlineStr">
        <is>
          <t>N</t>
        </is>
      </c>
      <c r="H37" s="37" t="n"/>
      <c r="I37" s="38">
        <f>IF(TRIM(H37)&lt;&gt;"","✓ Answered",IF(G37="Y","⚠ Missing – AI Follow-Up","— Optional (not answered)"))</f>
        <v/>
      </c>
    </row>
    <row r="38" ht="23.25" customHeight="1" s="29">
      <c r="A38" s="42" t="inlineStr">
        <is>
          <t>GL-021</t>
        </is>
      </c>
      <c r="B38" s="42" t="inlineStr">
        <is>
          <t>3 – Detailed Discovery (Follow-Up)</t>
        </is>
      </c>
      <c r="C38" s="42" t="inlineStr">
        <is>
          <t>GL</t>
        </is>
      </c>
      <c r="D38" s="43" t="inlineStr">
        <is>
          <t>Allocations</t>
        </is>
      </c>
      <c r="E38" s="43" t="inlineStr">
        <is>
          <t>Should allocations be calculated and generated dynamically during period-close or on a set recurring schedule?</t>
        </is>
      </c>
      <c r="F38" s="42" t="inlineStr">
        <is>
          <t>Free Text</t>
        </is>
      </c>
      <c r="G38" s="42" t="inlineStr">
        <is>
          <t>N</t>
        </is>
      </c>
      <c r="H38" s="37" t="n"/>
      <c r="I38" s="38">
        <f>IF(TRIM(H38)&lt;&gt;"","✓ Answered",IF(G38="Y","⚠ Missing – AI Follow-Up","— Optional (not answered)"))</f>
        <v/>
      </c>
    </row>
    <row r="39" ht="23.25" customHeight="1" s="29">
      <c r="A39" s="42" t="inlineStr">
        <is>
          <t>GL-022</t>
        </is>
      </c>
      <c r="B39" s="42" t="inlineStr">
        <is>
          <t>3 – Detailed Discovery (Follow-Up)</t>
        </is>
      </c>
      <c r="C39" s="42" t="inlineStr">
        <is>
          <t>GL</t>
        </is>
      </c>
      <c r="D39" s="43" t="inlineStr">
        <is>
          <t>Grant &amp; Compliance Reporting (HHS / Federal / State)</t>
        </is>
      </c>
      <c r="E39" s="43" t="inlineStr">
        <is>
          <t>How do you currently track allowable vs. unallowable costs, federal awards, and state reporting codes?</t>
        </is>
      </c>
      <c r="F39" s="42" t="inlineStr">
        <is>
          <t>Free Text</t>
        </is>
      </c>
      <c r="G39" s="42" t="inlineStr">
        <is>
          <t>N</t>
        </is>
      </c>
      <c r="H39" s="37" t="n"/>
      <c r="I39" s="38">
        <f>IF(TRIM(H39)&lt;&gt;"","✓ Answered",IF(G39="Y","⚠ Missing – AI Follow-Up","— Optional (not answered)"))</f>
        <v/>
      </c>
    </row>
    <row r="40" ht="34.5" customHeight="1" s="29">
      <c r="A40" s="42" t="inlineStr">
        <is>
          <t>GL-023</t>
        </is>
      </c>
      <c r="B40" s="42" t="inlineStr">
        <is>
          <t>3 – Detailed Discovery (Follow-Up)</t>
        </is>
      </c>
      <c r="C40" s="42" t="inlineStr">
        <is>
          <t>GL</t>
        </is>
      </c>
      <c r="D40" s="43" t="inlineStr">
        <is>
          <t>Grant &amp; Compliance Reporting (HHS / Federal / State)</t>
        </is>
      </c>
      <c r="E40" s="43" t="inlineStr">
        <is>
          <t>What specific metadata fields need to be attached to accounts or activities to satisfy external grant reporting (e.g., Assistance Listing/CFDA numbers, PMS subaccounts, Grant Manager names)?</t>
        </is>
      </c>
      <c r="F40" s="42" t="inlineStr">
        <is>
          <t>Free Text</t>
        </is>
      </c>
      <c r="G40" s="42" t="inlineStr">
        <is>
          <t>N</t>
        </is>
      </c>
      <c r="H40" s="37" t="n"/>
      <c r="I40" s="38">
        <f>IF(TRIM(H40)&lt;&gt;"","✓ Answered",IF(G40="Y","⚠ Missing – AI Follow-Up","— Optional (not answered)"))</f>
        <v/>
      </c>
    </row>
    <row r="41" ht="23.25" customHeight="1" s="29">
      <c r="A41" s="42" t="inlineStr">
        <is>
          <t>GL-024</t>
        </is>
      </c>
      <c r="B41" s="42" t="inlineStr">
        <is>
          <t>3 – Detailed Discovery (Follow-Up)</t>
        </is>
      </c>
      <c r="C41" s="42" t="inlineStr">
        <is>
          <t>GL</t>
        </is>
      </c>
      <c r="D41" s="43" t="inlineStr">
        <is>
          <t>Data Conversion, Interfaces &amp; Reporting</t>
        </is>
      </c>
      <c r="E41" s="43" t="inlineStr">
        <is>
          <t>How many years of historical transactional data, summary account balances, and budget history need to be converted from the legacy system?</t>
        </is>
      </c>
      <c r="F41" s="42" t="inlineStr">
        <is>
          <t>Free Text</t>
        </is>
      </c>
      <c r="G41" s="42" t="inlineStr">
        <is>
          <t>Y</t>
        </is>
      </c>
      <c r="H41" s="37" t="n"/>
      <c r="I41" s="38">
        <f>IF(TRIM(H41)&lt;&gt;"","✓ Answered",IF(G41="Y","⚠ Missing – AI Follow-Up","— Optional (not answered)"))</f>
        <v/>
      </c>
    </row>
    <row r="42" ht="23.25" customHeight="1" s="29">
      <c r="A42" s="42" t="inlineStr">
        <is>
          <t>GL-025</t>
        </is>
      </c>
      <c r="B42" s="42" t="inlineStr">
        <is>
          <t>3 – Detailed Discovery (Follow-Up)</t>
        </is>
      </c>
      <c r="C42" s="42" t="inlineStr">
        <is>
          <t>GL</t>
        </is>
      </c>
      <c r="D42" s="43" t="inlineStr">
        <is>
          <t>Data Conversion, Interfaces &amp; Reporting</t>
        </is>
      </c>
      <c r="E42" s="43" t="inlineStr">
        <is>
          <t>What third-party or banking interfaces need to feed directly into the general ledger or subledgers?</t>
        </is>
      </c>
      <c r="F42" s="42" t="inlineStr">
        <is>
          <t>Free Text</t>
        </is>
      </c>
      <c r="G42" s="42" t="inlineStr">
        <is>
          <t>Y</t>
        </is>
      </c>
      <c r="H42" s="37" t="n"/>
      <c r="I42" s="38">
        <f>IF(TRIM(H42)&lt;&gt;"","✓ Answered",IF(G42="Y","⚠ Missing – AI Follow-Up","— Optional (not answered)"))</f>
        <v/>
      </c>
    </row>
    <row r="43" ht="34.5" customHeight="1" s="29">
      <c r="A43" s="42" t="inlineStr">
        <is>
          <t>GL-026</t>
        </is>
      </c>
      <c r="B43" s="42" t="inlineStr">
        <is>
          <t>3 – Detailed Discovery (Follow-Up)</t>
        </is>
      </c>
      <c r="C43" s="42" t="inlineStr">
        <is>
          <t>GL</t>
        </is>
      </c>
      <c r="D43" s="43" t="inlineStr">
        <is>
          <t>Data Conversion, Interfaces &amp; Reporting</t>
        </is>
      </c>
      <c r="E43" s="43" t="inlineStr">
        <is>
          <t>What standard financial statements (Balance Sheet, Income Statement, Cash Flow), operational tracking reports, and state/federal regulatory filings must be built out of the box?</t>
        </is>
      </c>
      <c r="F43" s="42" t="inlineStr">
        <is>
          <t>Free Text</t>
        </is>
      </c>
      <c r="G43" s="42" t="inlineStr">
        <is>
          <t>Y</t>
        </is>
      </c>
      <c r="H43" s="37" t="n"/>
      <c r="I43" s="38">
        <f>IF(TRIM(H43)&lt;&gt;"","✓ Answered",IF(G43="Y","⚠ Missing – AI Follow-Up","— Optional (not answered)"))</f>
        <v/>
      </c>
    </row>
    <row r="44" ht="23.25" customHeight="1" s="29">
      <c r="A44" s="42" t="inlineStr">
        <is>
          <t>AP-001</t>
        </is>
      </c>
      <c r="B44" s="42" t="inlineStr">
        <is>
          <t>3 – Detailed Discovery (Follow-Up)</t>
        </is>
      </c>
      <c r="C44" s="42" t="inlineStr">
        <is>
          <t>AP</t>
        </is>
      </c>
      <c r="D44" s="43" t="inlineStr">
        <is>
          <t>Supplier Management &amp; Setup</t>
        </is>
      </c>
      <c r="E44" s="43" t="inlineStr">
        <is>
          <t>What is the current process for onboarding and approving new suppliers (e.g., required documentation, W-9/tax forms, banking details)?</t>
        </is>
      </c>
      <c r="F44" s="42" t="inlineStr">
        <is>
          <t>Free Text</t>
        </is>
      </c>
      <c r="G44" s="42" t="inlineStr">
        <is>
          <t>Y</t>
        </is>
      </c>
      <c r="H44" s="37" t="n"/>
      <c r="I44" s="38">
        <f>IF(TRIM(H44)&lt;&gt;"","✓ Answered",IF(G44="Y","⚠ Missing – AI Follow-Up","— Optional (not answered)"))</f>
        <v/>
      </c>
    </row>
    <row r="45" ht="23.25" customHeight="1" s="29">
      <c r="A45" s="42" t="inlineStr">
        <is>
          <t>AP-002</t>
        </is>
      </c>
      <c r="B45" s="42" t="inlineStr">
        <is>
          <t>3 – Detailed Discovery (Follow-Up)</t>
        </is>
      </c>
      <c r="C45" s="42" t="inlineStr">
        <is>
          <t>AP</t>
        </is>
      </c>
      <c r="D45" s="43" t="inlineStr">
        <is>
          <t>Supplier Management &amp; Setup</t>
        </is>
      </c>
      <c r="E45" s="43" t="inlineStr">
        <is>
          <t>Do suppliers require multiple sites (e.g., separate remit-to, ordering, and corporate addresses)?</t>
        </is>
      </c>
      <c r="F45" s="42" t="inlineStr">
        <is>
          <t>Free Text</t>
        </is>
      </c>
      <c r="G45" s="42" t="inlineStr">
        <is>
          <t>Y</t>
        </is>
      </c>
      <c r="H45" s="37" t="n"/>
      <c r="I45" s="38">
        <f>IF(TRIM(H45)&lt;&gt;"","✓ Answered",IF(G45="Y","⚠ Missing – AI Follow-Up","— Optional (not answered)"))</f>
        <v/>
      </c>
    </row>
    <row r="46" ht="23.25" customHeight="1" s="29">
      <c r="A46" s="42" t="inlineStr">
        <is>
          <t>AP-003</t>
        </is>
      </c>
      <c r="B46" s="42" t="inlineStr">
        <is>
          <t>3 – Detailed Discovery (Follow-Up)</t>
        </is>
      </c>
      <c r="C46" s="42" t="inlineStr">
        <is>
          <t>AP</t>
        </is>
      </c>
      <c r="D46" s="43" t="inlineStr">
        <is>
          <t>Supplier Management &amp; Setup</t>
        </is>
      </c>
      <c r="E46" s="43" t="inlineStr">
        <is>
          <t>How are suppliers segmented or classified (e.g., by type, category, 1099 reporting status)?</t>
        </is>
      </c>
      <c r="F46" s="42" t="inlineStr">
        <is>
          <t>Free Text</t>
        </is>
      </c>
      <c r="G46" s="42" t="inlineStr">
        <is>
          <t>N</t>
        </is>
      </c>
      <c r="H46" s="37" t="n"/>
      <c r="I46" s="38">
        <f>IF(TRIM(H46)&lt;&gt;"","✓ Answered",IF(G46="Y","⚠ Missing – AI Follow-Up","— Optional (not answered)"))</f>
        <v/>
      </c>
    </row>
    <row r="47" ht="23.25" customHeight="1" s="29">
      <c r="A47" s="42" t="inlineStr">
        <is>
          <t>AP-004</t>
        </is>
      </c>
      <c r="B47" s="42" t="inlineStr">
        <is>
          <t>3 – Detailed Discovery (Follow-Up)</t>
        </is>
      </c>
      <c r="C47" s="42" t="inlineStr">
        <is>
          <t>AP</t>
        </is>
      </c>
      <c r="D47" s="43" t="inlineStr">
        <is>
          <t>Invoice Processing</t>
        </is>
      </c>
      <c r="E47" s="43" t="inlineStr">
        <is>
          <t>How are invoices currently received and entered (e.g., manual entry, scanning/OCR, supplier portal, EDI)?</t>
        </is>
      </c>
      <c r="F47" s="42" t="inlineStr">
        <is>
          <t>Free Text</t>
        </is>
      </c>
      <c r="G47" s="42" t="inlineStr">
        <is>
          <t>Y</t>
        </is>
      </c>
      <c r="H47" s="37" t="n"/>
      <c r="I47" s="38">
        <f>IF(TRIM(H47)&lt;&gt;"","✓ Answered",IF(G47="Y","⚠ Missing – AI Follow-Up","— Optional (not answered)"))</f>
        <v/>
      </c>
    </row>
    <row r="48" ht="23.25" customHeight="1" s="29">
      <c r="A48" s="42" t="inlineStr">
        <is>
          <t>AP-005</t>
        </is>
      </c>
      <c r="B48" s="42" t="inlineStr">
        <is>
          <t>3 – Detailed Discovery (Follow-Up)</t>
        </is>
      </c>
      <c r="C48" s="42" t="inlineStr">
        <is>
          <t>AP</t>
        </is>
      </c>
      <c r="D48" s="43" t="inlineStr">
        <is>
          <t>Invoice Processing</t>
        </is>
      </c>
      <c r="E48" s="43" t="inlineStr">
        <is>
          <t>What level of PO matching is required (2-way, 3-way, 4-way) and for which transaction types?</t>
        </is>
      </c>
      <c r="F48" s="42" t="inlineStr">
        <is>
          <t>Free Text</t>
        </is>
      </c>
      <c r="G48" s="42" t="inlineStr">
        <is>
          <t>Y</t>
        </is>
      </c>
      <c r="H48" s="37" t="n"/>
      <c r="I48" s="38">
        <f>IF(TRIM(H48)&lt;&gt;"","✓ Answered",IF(G48="Y","⚠ Missing – AI Follow-Up","— Optional (not answered)"))</f>
        <v/>
      </c>
    </row>
    <row r="49" ht="15" customHeight="1" s="29">
      <c r="A49" s="42" t="inlineStr">
        <is>
          <t>AP-006</t>
        </is>
      </c>
      <c r="B49" s="42" t="inlineStr">
        <is>
          <t>3 – Detailed Discovery (Follow-Up)</t>
        </is>
      </c>
      <c r="C49" s="42" t="inlineStr">
        <is>
          <t>AP</t>
        </is>
      </c>
      <c r="D49" s="43" t="inlineStr">
        <is>
          <t>Invoice Processing</t>
        </is>
      </c>
      <c r="E49" s="43" t="inlineStr">
        <is>
          <t>What are the dollar thresholds and approval hierarchies for non-PO invoices?</t>
        </is>
      </c>
      <c r="F49" s="42" t="inlineStr">
        <is>
          <t>Free Text</t>
        </is>
      </c>
      <c r="G49" s="42" t="inlineStr">
        <is>
          <t>Y</t>
        </is>
      </c>
      <c r="H49" s="37" t="n"/>
      <c r="I49" s="38">
        <f>IF(TRIM(H49)&lt;&gt;"","✓ Answered",IF(G49="Y","⚠ Missing – AI Follow-Up","— Optional (not answered)"))</f>
        <v/>
      </c>
    </row>
    <row r="50" ht="23.25" customHeight="1" s="29">
      <c r="A50" s="42" t="inlineStr">
        <is>
          <t>AP-007</t>
        </is>
      </c>
      <c r="B50" s="42" t="inlineStr">
        <is>
          <t>3 – Detailed Discovery (Follow-Up)</t>
        </is>
      </c>
      <c r="C50" s="42" t="inlineStr">
        <is>
          <t>AP</t>
        </is>
      </c>
      <c r="D50" s="43" t="inlineStr">
        <is>
          <t>Invoice Processing</t>
        </is>
      </c>
      <c r="E50" s="43" t="inlineStr">
        <is>
          <t>How are recurring charges (e.g., leases, subscriptions) and prepayments currently tracked and amortized?</t>
        </is>
      </c>
      <c r="F50" s="42" t="inlineStr">
        <is>
          <t>Free Text</t>
        </is>
      </c>
      <c r="G50" s="42" t="inlineStr">
        <is>
          <t>N</t>
        </is>
      </c>
      <c r="H50" s="37" t="n"/>
      <c r="I50" s="38">
        <f>IF(TRIM(H50)&lt;&gt;"","✓ Answered",IF(G50="Y","⚠ Missing – AI Follow-Up","— Optional (not answered)"))</f>
        <v/>
      </c>
    </row>
    <row r="51" ht="23.25" customHeight="1" s="29">
      <c r="A51" s="42" t="inlineStr">
        <is>
          <t>AP-008</t>
        </is>
      </c>
      <c r="B51" s="42" t="inlineStr">
        <is>
          <t>3 – Detailed Discovery (Follow-Up)</t>
        </is>
      </c>
      <c r="C51" s="42" t="inlineStr">
        <is>
          <t>AP</t>
        </is>
      </c>
      <c r="D51" s="43" t="inlineStr">
        <is>
          <t>Payments</t>
        </is>
      </c>
      <c r="E51" s="43" t="inlineStr">
        <is>
          <t>What payment methods are used (check, ACH, wire, virtual card) and do they vary by supplier or region?</t>
        </is>
      </c>
      <c r="F51" s="42" t="inlineStr">
        <is>
          <t>Free Text</t>
        </is>
      </c>
      <c r="G51" s="42" t="inlineStr">
        <is>
          <t>Y</t>
        </is>
      </c>
      <c r="H51" s="37" t="n"/>
      <c r="I51" s="38">
        <f>IF(TRIM(H51)&lt;&gt;"","✓ Answered",IF(G51="Y","⚠ Missing – AI Follow-Up","— Optional (not answered)"))</f>
        <v/>
      </c>
    </row>
    <row r="52" ht="23.25" customHeight="1" s="29">
      <c r="A52" s="42" t="inlineStr">
        <is>
          <t>AP-009</t>
        </is>
      </c>
      <c r="B52" s="42" t="inlineStr">
        <is>
          <t>3 – Detailed Discovery (Follow-Up)</t>
        </is>
      </c>
      <c r="C52" s="42" t="inlineStr">
        <is>
          <t>AP</t>
        </is>
      </c>
      <c r="D52" s="43" t="inlineStr">
        <is>
          <t>Payments</t>
        </is>
      </c>
      <c r="E52" s="43" t="inlineStr">
        <is>
          <t>What standard payment terms are offered, and how are early-payment discounts managed?</t>
        </is>
      </c>
      <c r="F52" s="42" t="inlineStr">
        <is>
          <t>Free Text</t>
        </is>
      </c>
      <c r="G52" s="42" t="inlineStr">
        <is>
          <t>Y</t>
        </is>
      </c>
      <c r="H52" s="37" t="n"/>
      <c r="I52" s="38">
        <f>IF(TRIM(H52)&lt;&gt;"","✓ Answered",IF(G52="Y","⚠ Missing – AI Follow-Up","— Optional (not answered)"))</f>
        <v/>
      </c>
    </row>
    <row r="53" ht="15" customHeight="1" s="29">
      <c r="A53" s="42" t="inlineStr">
        <is>
          <t>AP-010</t>
        </is>
      </c>
      <c r="B53" s="42" t="inlineStr">
        <is>
          <t>3 – Detailed Discovery (Follow-Up)</t>
        </is>
      </c>
      <c r="C53" s="42" t="inlineStr">
        <is>
          <t>AP</t>
        </is>
      </c>
      <c r="D53" s="43" t="inlineStr">
        <is>
          <t>Payments</t>
        </is>
      </c>
      <c r="E53" s="43" t="inlineStr">
        <is>
          <t>What controls exist over payment batches (e.g., dual approval, positive pay)?</t>
        </is>
      </c>
      <c r="F53" s="42" t="inlineStr">
        <is>
          <t>Free Text</t>
        </is>
      </c>
      <c r="G53" s="42" t="inlineStr">
        <is>
          <t>Y</t>
        </is>
      </c>
      <c r="H53" s="37" t="n"/>
      <c r="I53" s="38">
        <f>IF(TRIM(H53)&lt;&gt;"","✓ Answered",IF(G53="Y","⚠ Missing – AI Follow-Up","— Optional (not answered)"))</f>
        <v/>
      </c>
    </row>
    <row r="54" ht="23.25" customHeight="1" s="29">
      <c r="A54" s="42" t="inlineStr">
        <is>
          <t>AP-011</t>
        </is>
      </c>
      <c r="B54" s="42" t="inlineStr">
        <is>
          <t>3 – Detailed Discovery (Follow-Up)</t>
        </is>
      </c>
      <c r="C54" s="42" t="inlineStr">
        <is>
          <t>AP</t>
        </is>
      </c>
      <c r="D54" s="43" t="inlineStr">
        <is>
          <t>Tax &amp; Compliance</t>
        </is>
      </c>
      <c r="E54" s="43" t="inlineStr">
        <is>
          <t>What tax withholding rules apply, and what regulatory reporting (1099, 1042-S, VAT) is required?</t>
        </is>
      </c>
      <c r="F54" s="42" t="inlineStr">
        <is>
          <t>Free Text</t>
        </is>
      </c>
      <c r="G54" s="42" t="inlineStr">
        <is>
          <t>Y</t>
        </is>
      </c>
      <c r="H54" s="37" t="n"/>
      <c r="I54" s="38">
        <f>IF(TRIM(H54)&lt;&gt;"","✓ Answered",IF(G54="Y","⚠ Missing – AI Follow-Up","— Optional (not answered)"))</f>
        <v/>
      </c>
    </row>
    <row r="55" ht="15" customHeight="1" s="29">
      <c r="A55" s="42" t="inlineStr">
        <is>
          <t>AP-012</t>
        </is>
      </c>
      <c r="B55" s="42" t="inlineStr">
        <is>
          <t>3 – Detailed Discovery (Follow-Up)</t>
        </is>
      </c>
      <c r="C55" s="42" t="inlineStr">
        <is>
          <t>AP</t>
        </is>
      </c>
      <c r="D55" s="43" t="inlineStr">
        <is>
          <t>Tax &amp; Compliance</t>
        </is>
      </c>
      <c r="E55" s="43" t="inlineStr">
        <is>
          <t>Does the organization self-assess use tax on certain purchases?</t>
        </is>
      </c>
      <c r="F55" s="42" t="inlineStr">
        <is>
          <t>Free Text</t>
        </is>
      </c>
      <c r="G55" s="42" t="inlineStr">
        <is>
          <t>N</t>
        </is>
      </c>
      <c r="H55" s="37" t="n"/>
      <c r="I55" s="38">
        <f>IF(TRIM(H55)&lt;&gt;"","✓ Answered",IF(G55="Y","⚠ Missing – AI Follow-Up","— Optional (not answered)"))</f>
        <v/>
      </c>
    </row>
    <row r="56" ht="23.25" customHeight="1" s="29">
      <c r="A56" s="42" t="inlineStr">
        <is>
          <t>AP-013</t>
        </is>
      </c>
      <c r="B56" s="42" t="inlineStr">
        <is>
          <t>3 – Detailed Discovery (Follow-Up)</t>
        </is>
      </c>
      <c r="C56" s="42" t="inlineStr">
        <is>
          <t>AP</t>
        </is>
      </c>
      <c r="D56" s="43" t="inlineStr">
        <is>
          <t>Interfaces &amp; Reporting</t>
        </is>
      </c>
      <c r="E56" s="43" t="inlineStr">
        <is>
          <t>Is there an upstream procurement/requisitioning system feeding AP, and how tightly should PO and invoice data be integrated?</t>
        </is>
      </c>
      <c r="F56" s="42" t="inlineStr">
        <is>
          <t>Free Text</t>
        </is>
      </c>
      <c r="G56" s="42" t="inlineStr">
        <is>
          <t>Y</t>
        </is>
      </c>
      <c r="H56" s="37" t="n"/>
      <c r="I56" s="38">
        <f>IF(TRIM(H56)&lt;&gt;"","✓ Answered",IF(G56="Y","⚠ Missing – AI Follow-Up","— Optional (not answered)"))</f>
        <v/>
      </c>
    </row>
    <row r="57" ht="23.25" customHeight="1" s="29">
      <c r="A57" s="42" t="inlineStr">
        <is>
          <t>AP-014</t>
        </is>
      </c>
      <c r="B57" s="42" t="inlineStr">
        <is>
          <t>3 – Detailed Discovery (Follow-Up)</t>
        </is>
      </c>
      <c r="C57" s="42" t="inlineStr">
        <is>
          <t>AP</t>
        </is>
      </c>
      <c r="D57" s="43" t="inlineStr">
        <is>
          <t>Interfaces &amp; Reporting</t>
        </is>
      </c>
      <c r="E57" s="43" t="inlineStr">
        <is>
          <t>Are employee expense reimbursements processed through AP or a separate system?</t>
        </is>
      </c>
      <c r="F57" s="42" t="inlineStr">
        <is>
          <t>Free Text</t>
        </is>
      </c>
      <c r="G57" s="42" t="inlineStr">
        <is>
          <t>N</t>
        </is>
      </c>
      <c r="H57" s="37" t="n"/>
      <c r="I57" s="38">
        <f>IF(TRIM(H57)&lt;&gt;"","✓ Answered",IF(G57="Y","⚠ Missing – AI Follow-Up","— Optional (not answered)"))</f>
        <v/>
      </c>
    </row>
    <row r="58" ht="23.25" customHeight="1" s="29">
      <c r="A58" s="42" t="inlineStr">
        <is>
          <t>AP-015</t>
        </is>
      </c>
      <c r="B58" s="42" t="inlineStr">
        <is>
          <t>3 – Detailed Discovery (Follow-Up)</t>
        </is>
      </c>
      <c r="C58" s="42" t="inlineStr">
        <is>
          <t>AP</t>
        </is>
      </c>
      <c r="D58" s="43" t="inlineStr">
        <is>
          <t>Interfaces &amp; Reporting</t>
        </is>
      </c>
      <c r="E58" s="43" t="inlineStr">
        <is>
          <t>What AP-specific reports are required (aging, cash disbursement forecast, supplier spend analysis)?</t>
        </is>
      </c>
      <c r="F58" s="42" t="inlineStr">
        <is>
          <t>Free Text</t>
        </is>
      </c>
      <c r="G58" s="42" t="inlineStr">
        <is>
          <t>Y</t>
        </is>
      </c>
      <c r="H58" s="37" t="n"/>
      <c r="I58" s="38">
        <f>IF(TRIM(H58)&lt;&gt;"","✓ Answered",IF(G58="Y","⚠ Missing – AI Follow-Up","— Optional (not answered)"))</f>
        <v/>
      </c>
    </row>
    <row r="59" ht="23.25" customHeight="1" s="29">
      <c r="A59" s="42" t="inlineStr">
        <is>
          <t>AR-001</t>
        </is>
      </c>
      <c r="B59" s="42" t="inlineStr">
        <is>
          <t>3 – Detailed Discovery (Follow-Up)</t>
        </is>
      </c>
      <c r="C59" s="42" t="inlineStr">
        <is>
          <t>AR</t>
        </is>
      </c>
      <c r="D59" s="43" t="inlineStr">
        <is>
          <t>Customer Management</t>
        </is>
      </c>
      <c r="E59" s="43" t="inlineStr">
        <is>
          <t>What is the process for establishing new customer accounts, including credit checks and credit limit setting?</t>
        </is>
      </c>
      <c r="F59" s="42" t="inlineStr">
        <is>
          <t>Free Text</t>
        </is>
      </c>
      <c r="G59" s="42" t="inlineStr">
        <is>
          <t>Y</t>
        </is>
      </c>
      <c r="H59" s="37" t="n"/>
      <c r="I59" s="38">
        <f>IF(TRIM(H59)&lt;&gt;"","✓ Answered",IF(G59="Y","⚠ Missing – AI Follow-Up","— Optional (not answered)"))</f>
        <v/>
      </c>
    </row>
    <row r="60" ht="23.25" customHeight="1" s="29">
      <c r="A60" s="42" t="inlineStr">
        <is>
          <t>AR-002</t>
        </is>
      </c>
      <c r="B60" s="42" t="inlineStr">
        <is>
          <t>3 – Detailed Discovery (Follow-Up)</t>
        </is>
      </c>
      <c r="C60" s="42" t="inlineStr">
        <is>
          <t>AR</t>
        </is>
      </c>
      <c r="D60" s="43" t="inlineStr">
        <is>
          <t>Customer Management</t>
        </is>
      </c>
      <c r="E60" s="43" t="inlineStr">
        <is>
          <t>Do customers require bill-to/ship-to hierarchies or parent-child account structures?</t>
        </is>
      </c>
      <c r="F60" s="42" t="inlineStr">
        <is>
          <t>Free Text</t>
        </is>
      </c>
      <c r="G60" s="42" t="inlineStr">
        <is>
          <t>N</t>
        </is>
      </c>
      <c r="H60" s="37" t="n"/>
      <c r="I60" s="38">
        <f>IF(TRIM(H60)&lt;&gt;"","✓ Answered",IF(G60="Y","⚠ Missing – AI Follow-Up","— Optional (not answered)"))</f>
        <v/>
      </c>
    </row>
    <row r="61" ht="23.25" customHeight="1" s="29">
      <c r="A61" s="42" t="inlineStr">
        <is>
          <t>AR-003</t>
        </is>
      </c>
      <c r="B61" s="42" t="inlineStr">
        <is>
          <t>3 – Detailed Discovery (Follow-Up)</t>
        </is>
      </c>
      <c r="C61" s="42" t="inlineStr">
        <is>
          <t>AR</t>
        </is>
      </c>
      <c r="D61" s="43" t="inlineStr">
        <is>
          <t>Billing &amp; Invoicing</t>
        </is>
      </c>
      <c r="E61" s="43" t="inlineStr">
        <is>
          <t>How are customer invoices generated (e.g., manual, contract billing, project billing, recurring billing)?</t>
        </is>
      </c>
      <c r="F61" s="42" t="inlineStr">
        <is>
          <t>Free Text</t>
        </is>
      </c>
      <c r="G61" s="42" t="inlineStr">
        <is>
          <t>Y</t>
        </is>
      </c>
      <c r="H61" s="37" t="n"/>
      <c r="I61" s="38">
        <f>IF(TRIM(H61)&lt;&gt;"","✓ Answered",IF(G61="Y","⚠ Missing – AI Follow-Up","— Optional (not answered)"))</f>
        <v/>
      </c>
    </row>
    <row r="62" ht="15" customHeight="1" s="29">
      <c r="A62" s="42" t="inlineStr">
        <is>
          <t>AR-004</t>
        </is>
      </c>
      <c r="B62" s="42" t="inlineStr">
        <is>
          <t>3 – Detailed Discovery (Follow-Up)</t>
        </is>
      </c>
      <c r="C62" s="42" t="inlineStr">
        <is>
          <t>AR</t>
        </is>
      </c>
      <c r="D62" s="43" t="inlineStr">
        <is>
          <t>Billing &amp; Invoicing</t>
        </is>
      </c>
      <c r="E62" s="43" t="inlineStr">
        <is>
          <t>How are invoices delivered to customers (mail, email, EDI, customer portal)?</t>
        </is>
      </c>
      <c r="F62" s="42" t="inlineStr">
        <is>
          <t>Free Text</t>
        </is>
      </c>
      <c r="G62" s="42" t="inlineStr">
        <is>
          <t>Y</t>
        </is>
      </c>
      <c r="H62" s="37" t="n"/>
      <c r="I62" s="38">
        <f>IF(TRIM(H62)&lt;&gt;"","✓ Answered",IF(G62="Y","⚠ Missing – AI Follow-Up","— Optional (not answered)"))</f>
        <v/>
      </c>
    </row>
    <row r="63" ht="23.25" customHeight="1" s="29">
      <c r="A63" s="42" t="inlineStr">
        <is>
          <t>AR-005</t>
        </is>
      </c>
      <c r="B63" s="42" t="inlineStr">
        <is>
          <t>3 – Detailed Discovery (Follow-Up)</t>
        </is>
      </c>
      <c r="C63" s="42" t="inlineStr">
        <is>
          <t>AR</t>
        </is>
      </c>
      <c r="D63" s="43" t="inlineStr">
        <is>
          <t>Billing &amp; Invoicing</t>
        </is>
      </c>
      <c r="E63" s="43" t="inlineStr">
        <is>
          <t>What billing cycles or milestones apply (e.g., monthly, milestone-based, usage-based)?</t>
        </is>
      </c>
      <c r="F63" s="42" t="inlineStr">
        <is>
          <t>Free Text</t>
        </is>
      </c>
      <c r="G63" s="42" t="inlineStr">
        <is>
          <t>Y</t>
        </is>
      </c>
      <c r="H63" s="37" t="n"/>
      <c r="I63" s="38">
        <f>IF(TRIM(H63)&lt;&gt;"","✓ Answered",IF(G63="Y","⚠ Missing – AI Follow-Up","— Optional (not answered)"))</f>
        <v/>
      </c>
    </row>
    <row r="64" ht="23.25" customHeight="1" s="29">
      <c r="A64" s="42" t="inlineStr">
        <is>
          <t>AR-006</t>
        </is>
      </c>
      <c r="B64" s="42" t="inlineStr">
        <is>
          <t>3 – Detailed Discovery (Follow-Up)</t>
        </is>
      </c>
      <c r="C64" s="42" t="inlineStr">
        <is>
          <t>AR</t>
        </is>
      </c>
      <c r="D64" s="43" t="inlineStr">
        <is>
          <t>Receipts &amp; Collections</t>
        </is>
      </c>
      <c r="E64" s="43" t="inlineStr">
        <is>
          <t>How are customer payments received (lockbox, ACH, credit card, check) and applied to invoices?</t>
        </is>
      </c>
      <c r="F64" s="42" t="inlineStr">
        <is>
          <t>Free Text</t>
        </is>
      </c>
      <c r="G64" s="42" t="inlineStr">
        <is>
          <t>Y</t>
        </is>
      </c>
      <c r="H64" s="37" t="n"/>
      <c r="I64" s="38">
        <f>IF(TRIM(H64)&lt;&gt;"","✓ Answered",IF(G64="Y","⚠ Missing – AI Follow-Up","— Optional (not answered)"))</f>
        <v/>
      </c>
    </row>
    <row r="65" ht="23.25" customHeight="1" s="29">
      <c r="A65" s="42" t="inlineStr">
        <is>
          <t>AR-007</t>
        </is>
      </c>
      <c r="B65" s="42" t="inlineStr">
        <is>
          <t>3 – Detailed Discovery (Follow-Up)</t>
        </is>
      </c>
      <c r="C65" s="42" t="inlineStr">
        <is>
          <t>AR</t>
        </is>
      </c>
      <c r="D65" s="43" t="inlineStr">
        <is>
          <t>Receipts &amp; Collections</t>
        </is>
      </c>
      <c r="E65" s="43" t="inlineStr">
        <is>
          <t>How are short payments, deductions, and billing disputes currently tracked and resolved?</t>
        </is>
      </c>
      <c r="F65" s="42" t="inlineStr">
        <is>
          <t>Free Text</t>
        </is>
      </c>
      <c r="G65" s="42" t="inlineStr">
        <is>
          <t>N</t>
        </is>
      </c>
      <c r="H65" s="37" t="n"/>
      <c r="I65" s="38">
        <f>IF(TRIM(H65)&lt;&gt;"","✓ Answered",IF(G65="Y","⚠ Missing – AI Follow-Up","— Optional (not answered)"))</f>
        <v/>
      </c>
    </row>
    <row r="66" ht="23.25" customHeight="1" s="29">
      <c r="A66" s="42" t="inlineStr">
        <is>
          <t>AR-008</t>
        </is>
      </c>
      <c r="B66" s="42" t="inlineStr">
        <is>
          <t>3 – Detailed Discovery (Follow-Up)</t>
        </is>
      </c>
      <c r="C66" s="42" t="inlineStr">
        <is>
          <t>AR</t>
        </is>
      </c>
      <c r="D66" s="43" t="inlineStr">
        <is>
          <t>Receipts &amp; Collections</t>
        </is>
      </c>
      <c r="E66" s="43" t="inlineStr">
        <is>
          <t>What collections workflow, dunning letters, or escalation process is used for past-due accounts?</t>
        </is>
      </c>
      <c r="F66" s="42" t="inlineStr">
        <is>
          <t>Free Text</t>
        </is>
      </c>
      <c r="G66" s="42" t="inlineStr">
        <is>
          <t>Y</t>
        </is>
      </c>
      <c r="H66" s="37" t="n"/>
      <c r="I66" s="38">
        <f>IF(TRIM(H66)&lt;&gt;"","✓ Answered",IF(G66="Y","⚠ Missing – AI Follow-Up","— Optional (not answered)"))</f>
        <v/>
      </c>
    </row>
    <row r="67" ht="23.25" customHeight="1" s="29">
      <c r="A67" s="42" t="inlineStr">
        <is>
          <t>AR-009</t>
        </is>
      </c>
      <c r="B67" s="42" t="inlineStr">
        <is>
          <t>3 – Detailed Discovery (Follow-Up)</t>
        </is>
      </c>
      <c r="C67" s="42" t="inlineStr">
        <is>
          <t>AR</t>
        </is>
      </c>
      <c r="D67" s="43" t="inlineStr">
        <is>
          <t>Credit &amp; Risk Management</t>
        </is>
      </c>
      <c r="E67" s="43" t="inlineStr">
        <is>
          <t>What triggers a credit hold on a customer account, and who has authority to release it?</t>
        </is>
      </c>
      <c r="F67" s="42" t="inlineStr">
        <is>
          <t>Free Text</t>
        </is>
      </c>
      <c r="G67" s="42" t="inlineStr">
        <is>
          <t>Y</t>
        </is>
      </c>
      <c r="H67" s="37" t="n"/>
      <c r="I67" s="38">
        <f>IF(TRIM(H67)&lt;&gt;"","✓ Answered",IF(G67="Y","⚠ Missing – AI Follow-Up","— Optional (not answered)"))</f>
        <v/>
      </c>
    </row>
    <row r="68" ht="15" customHeight="1" s="29">
      <c r="A68" s="42" t="inlineStr">
        <is>
          <t>AR-010</t>
        </is>
      </c>
      <c r="B68" s="42" t="inlineStr">
        <is>
          <t>3 – Detailed Discovery (Follow-Up)</t>
        </is>
      </c>
      <c r="C68" s="42" t="inlineStr">
        <is>
          <t>AR</t>
        </is>
      </c>
      <c r="D68" s="43" t="inlineStr">
        <is>
          <t>Credit &amp; Risk Management</t>
        </is>
      </c>
      <c r="E68" s="43" t="inlineStr">
        <is>
          <t>What is the approval process for writing off uncollectible receivables?</t>
        </is>
      </c>
      <c r="F68" s="42" t="inlineStr">
        <is>
          <t>Free Text</t>
        </is>
      </c>
      <c r="G68" s="42" t="inlineStr">
        <is>
          <t>N</t>
        </is>
      </c>
      <c r="H68" s="37" t="n"/>
      <c r="I68" s="38">
        <f>IF(TRIM(H68)&lt;&gt;"","✓ Answered",IF(G68="Y","⚠ Missing – AI Follow-Up","— Optional (not answered)"))</f>
        <v/>
      </c>
    </row>
    <row r="69" ht="23.25" customHeight="1" s="29">
      <c r="A69" s="42" t="inlineStr">
        <is>
          <t>AR-011</t>
        </is>
      </c>
      <c r="B69" s="42" t="inlineStr">
        <is>
          <t>3 – Detailed Discovery (Follow-Up)</t>
        </is>
      </c>
      <c r="C69" s="42" t="inlineStr">
        <is>
          <t>AR</t>
        </is>
      </c>
      <c r="D69" s="43" t="inlineStr">
        <is>
          <t>Tax &amp; Compliance</t>
        </is>
      </c>
      <c r="E69" s="43" t="inlineStr">
        <is>
          <t>How is sales tax calculated and reported on customer invoices (e.g., third-party tax engine)?</t>
        </is>
      </c>
      <c r="F69" s="42" t="inlineStr">
        <is>
          <t>Free Text</t>
        </is>
      </c>
      <c r="G69" s="42" t="inlineStr">
        <is>
          <t>Y</t>
        </is>
      </c>
      <c r="H69" s="37" t="n"/>
      <c r="I69" s="38">
        <f>IF(TRIM(H69)&lt;&gt;"","✓ Answered",IF(G69="Y","⚠ Missing – AI Follow-Up","— Optional (not answered)"))</f>
        <v/>
      </c>
    </row>
    <row r="70" ht="23.25" customHeight="1" s="29">
      <c r="A70" s="42" t="inlineStr">
        <is>
          <t>AR-012</t>
        </is>
      </c>
      <c r="B70" s="42" t="inlineStr">
        <is>
          <t>3 – Detailed Discovery (Follow-Up)</t>
        </is>
      </c>
      <c r="C70" s="42" t="inlineStr">
        <is>
          <t>AR</t>
        </is>
      </c>
      <c r="D70" s="43" t="inlineStr">
        <is>
          <t>Interfaces &amp; Reporting</t>
        </is>
      </c>
      <c r="E70" s="43" t="inlineStr">
        <is>
          <t>What AR-specific reports are required (aging, DSO, cash forecast, customer statements)?</t>
        </is>
      </c>
      <c r="F70" s="42" t="inlineStr">
        <is>
          <t>Free Text</t>
        </is>
      </c>
      <c r="G70" s="42" t="inlineStr">
        <is>
          <t>Y</t>
        </is>
      </c>
      <c r="H70" s="37" t="n"/>
      <c r="I70" s="38">
        <f>IF(TRIM(H70)&lt;&gt;"","✓ Answered",IF(G70="Y","⚠ Missing – AI Follow-Up","— Optional (not answered)"))</f>
        <v/>
      </c>
    </row>
    <row r="71" ht="15" customHeight="1" s="29">
      <c r="A71" s="42" t="inlineStr">
        <is>
          <t>FA-001</t>
        </is>
      </c>
      <c r="B71" s="42" t="inlineStr">
        <is>
          <t>3 – Detailed Discovery (Follow-Up)</t>
        </is>
      </c>
      <c r="C71" s="42" t="inlineStr">
        <is>
          <t>FA</t>
        </is>
      </c>
      <c r="D71" s="43" t="inlineStr">
        <is>
          <t>Asset Categories &amp; Setup</t>
        </is>
      </c>
      <c r="E71" s="43" t="inlineStr">
        <is>
          <t>How are assets categorized (e.g., by type, useful life, depreciation method)?</t>
        </is>
      </c>
      <c r="F71" s="42" t="inlineStr">
        <is>
          <t>Free Text</t>
        </is>
      </c>
      <c r="G71" s="42" t="inlineStr">
        <is>
          <t>Y</t>
        </is>
      </c>
      <c r="H71" s="37" t="n"/>
      <c r="I71" s="38">
        <f>IF(TRIM(H71)&lt;&gt;"","✓ Answered",IF(G71="Y","⚠ Missing – AI Follow-Up","— Optional (not answered)"))</f>
        <v/>
      </c>
    </row>
    <row r="72" ht="15" customHeight="1" s="29">
      <c r="A72" s="42" t="inlineStr">
        <is>
          <t>FA-002</t>
        </is>
      </c>
      <c r="B72" s="42" t="inlineStr">
        <is>
          <t>3 – Detailed Discovery (Follow-Up)</t>
        </is>
      </c>
      <c r="C72" s="42" t="inlineStr">
        <is>
          <t>FA</t>
        </is>
      </c>
      <c r="D72" s="43" t="inlineStr">
        <is>
          <t>Asset Categories &amp; Setup</t>
        </is>
      </c>
      <c r="E72" s="43" t="inlineStr">
        <is>
          <t>Do you require multiple depreciation books (e.g., corporate, tax, budget)?</t>
        </is>
      </c>
      <c r="F72" s="42" t="inlineStr">
        <is>
          <t>Free Text</t>
        </is>
      </c>
      <c r="G72" s="42" t="inlineStr">
        <is>
          <t>Y</t>
        </is>
      </c>
      <c r="H72" s="37" t="n"/>
      <c r="I72" s="38">
        <f>IF(TRIM(H72)&lt;&gt;"","✓ Answered",IF(G72="Y","⚠ Missing – AI Follow-Up","— Optional (not answered)"))</f>
        <v/>
      </c>
    </row>
    <row r="73" ht="23.25" customHeight="1" s="29">
      <c r="A73" s="42" t="inlineStr">
        <is>
          <t>FA-003</t>
        </is>
      </c>
      <c r="B73" s="42" t="inlineStr">
        <is>
          <t>3 – Detailed Discovery (Follow-Up)</t>
        </is>
      </c>
      <c r="C73" s="42" t="inlineStr">
        <is>
          <t>FA</t>
        </is>
      </c>
      <c r="D73" s="43" t="inlineStr">
        <is>
          <t>Asset Acquisition &amp; Capitalization</t>
        </is>
      </c>
      <c r="E73" s="43" t="inlineStr">
        <is>
          <t>What dollar threshold determines whether a purchase is capitalized versus expensed?</t>
        </is>
      </c>
      <c r="F73" s="42" t="inlineStr">
        <is>
          <t>Free Text</t>
        </is>
      </c>
      <c r="G73" s="42" t="inlineStr">
        <is>
          <t>Y</t>
        </is>
      </c>
      <c r="H73" s="37" t="n"/>
      <c r="I73" s="38">
        <f>IF(TRIM(H73)&lt;&gt;"","✓ Answered",IF(G73="Y","⚠ Missing – AI Follow-Up","— Optional (not answered)"))</f>
        <v/>
      </c>
    </row>
    <row r="74" ht="23.25" customHeight="1" s="29">
      <c r="A74" s="42" t="inlineStr">
        <is>
          <t>FA-004</t>
        </is>
      </c>
      <c r="B74" s="42" t="inlineStr">
        <is>
          <t>3 – Detailed Discovery (Follow-Up)</t>
        </is>
      </c>
      <c r="C74" s="42" t="inlineStr">
        <is>
          <t>FA</t>
        </is>
      </c>
      <c r="D74" s="43" t="inlineStr">
        <is>
          <t>Asset Acquisition &amp; Capitalization</t>
        </is>
      </c>
      <c r="E74" s="43" t="inlineStr">
        <is>
          <t>How are assets under construction (CIP) tracked and transferred to in-service status?</t>
        </is>
      </c>
      <c r="F74" s="42" t="inlineStr">
        <is>
          <t>Free Text</t>
        </is>
      </c>
      <c r="G74" s="42" t="inlineStr">
        <is>
          <t>N</t>
        </is>
      </c>
      <c r="H74" s="37" t="n"/>
      <c r="I74" s="38">
        <f>IF(TRIM(H74)&lt;&gt;"","✓ Answered",IF(G74="Y","⚠ Missing – AI Follow-Up","— Optional (not answered)"))</f>
        <v/>
      </c>
    </row>
    <row r="75" ht="23.25" customHeight="1" s="29">
      <c r="A75" s="42" t="inlineStr">
        <is>
          <t>FA-005</t>
        </is>
      </c>
      <c r="B75" s="42" t="inlineStr">
        <is>
          <t>3 – Detailed Discovery (Follow-Up)</t>
        </is>
      </c>
      <c r="C75" s="42" t="inlineStr">
        <is>
          <t>FA</t>
        </is>
      </c>
      <c r="D75" s="43" t="inlineStr">
        <is>
          <t>Asset Acquisition &amp; Capitalization</t>
        </is>
      </c>
      <c r="E75" s="43" t="inlineStr">
        <is>
          <t>Are assets added manually, via mass additions from AP, or via project costing interfaces?</t>
        </is>
      </c>
      <c r="F75" s="42" t="inlineStr">
        <is>
          <t>Free Text</t>
        </is>
      </c>
      <c r="G75" s="42" t="inlineStr">
        <is>
          <t>Y</t>
        </is>
      </c>
      <c r="H75" s="37" t="n"/>
      <c r="I75" s="38">
        <f>IF(TRIM(H75)&lt;&gt;"","✓ Answered",IF(G75="Y","⚠ Missing – AI Follow-Up","— Optional (not answered)"))</f>
        <v/>
      </c>
    </row>
    <row r="76" ht="23.25" customHeight="1" s="29">
      <c r="A76" s="42" t="inlineStr">
        <is>
          <t>FA-006</t>
        </is>
      </c>
      <c r="B76" s="42" t="inlineStr">
        <is>
          <t>3 – Detailed Discovery (Follow-Up)</t>
        </is>
      </c>
      <c r="C76" s="42" t="inlineStr">
        <is>
          <t>FA</t>
        </is>
      </c>
      <c r="D76" s="43" t="inlineStr">
        <is>
          <t>Depreciation</t>
        </is>
      </c>
      <c r="E76" s="43" t="inlineStr">
        <is>
          <t>What depreciation methods and useful lives apply by asset category (e.g., straight-line, declining balance)?</t>
        </is>
      </c>
      <c r="F76" s="42" t="inlineStr">
        <is>
          <t>Free Text</t>
        </is>
      </c>
      <c r="G76" s="42" t="inlineStr">
        <is>
          <t>Y</t>
        </is>
      </c>
      <c r="H76" s="37" t="n"/>
      <c r="I76" s="38">
        <f>IF(TRIM(H76)&lt;&gt;"","✓ Answered",IF(G76="Y","⚠ Missing – AI Follow-Up","— Optional (not answered)"))</f>
        <v/>
      </c>
    </row>
    <row r="77" ht="15" customHeight="1" s="29">
      <c r="A77" s="42" t="inlineStr">
        <is>
          <t>FA-007</t>
        </is>
      </c>
      <c r="B77" s="42" t="inlineStr">
        <is>
          <t>3 – Detailed Discovery (Follow-Up)</t>
        </is>
      </c>
      <c r="C77" s="42" t="inlineStr">
        <is>
          <t>FA</t>
        </is>
      </c>
      <c r="D77" s="43" t="inlineStr">
        <is>
          <t>Depreciation</t>
        </is>
      </c>
      <c r="E77" s="43" t="inlineStr">
        <is>
          <t>Is depreciation calculated monthly, and how are mid-year conventions handled?</t>
        </is>
      </c>
      <c r="F77" s="42" t="inlineStr">
        <is>
          <t>Free Text</t>
        </is>
      </c>
      <c r="G77" s="42" t="inlineStr">
        <is>
          <t>Y</t>
        </is>
      </c>
      <c r="H77" s="37" t="n"/>
      <c r="I77" s="38">
        <f>IF(TRIM(H77)&lt;&gt;"","✓ Answered",IF(G77="Y","⚠ Missing – AI Follow-Up","— Optional (not answered)"))</f>
        <v/>
      </c>
    </row>
    <row r="78" ht="23.25" customHeight="1" s="29">
      <c r="A78" s="42" t="inlineStr">
        <is>
          <t>FA-008</t>
        </is>
      </c>
      <c r="B78" s="42" t="inlineStr">
        <is>
          <t>3 – Detailed Discovery (Follow-Up)</t>
        </is>
      </c>
      <c r="C78" s="42" t="inlineStr">
        <is>
          <t>FA</t>
        </is>
      </c>
      <c r="D78" s="43" t="inlineStr">
        <is>
          <t>Transfers, Adjustments &amp; Retirements</t>
        </is>
      </c>
      <c r="E78" s="43" t="inlineStr">
        <is>
          <t>What is the process for transferring assets between departments, locations, or cost centers?</t>
        </is>
      </c>
      <c r="F78" s="42" t="inlineStr">
        <is>
          <t>Free Text</t>
        </is>
      </c>
      <c r="G78" s="42" t="inlineStr">
        <is>
          <t>N</t>
        </is>
      </c>
      <c r="H78" s="37" t="n"/>
      <c r="I78" s="38">
        <f>IF(TRIM(H78)&lt;&gt;"","✓ Answered",IF(G78="Y","⚠ Missing – AI Follow-Up","— Optional (not answered)"))</f>
        <v/>
      </c>
    </row>
    <row r="79" ht="23.25" customHeight="1" s="29">
      <c r="A79" s="42" t="inlineStr">
        <is>
          <t>FA-009</t>
        </is>
      </c>
      <c r="B79" s="42" t="inlineStr">
        <is>
          <t>3 – Detailed Discovery (Follow-Up)</t>
        </is>
      </c>
      <c r="C79" s="42" t="inlineStr">
        <is>
          <t>FA</t>
        </is>
      </c>
      <c r="D79" s="43" t="inlineStr">
        <is>
          <t>Transfers, Adjustments &amp; Retirements</t>
        </is>
      </c>
      <c r="E79" s="43" t="inlineStr">
        <is>
          <t>What approval workflow governs asset retirements, sales, or disposals, and how are gains/losses recorded?</t>
        </is>
      </c>
      <c r="F79" s="42" t="inlineStr">
        <is>
          <t>Free Text</t>
        </is>
      </c>
      <c r="G79" s="42" t="inlineStr">
        <is>
          <t>Y</t>
        </is>
      </c>
      <c r="H79" s="37" t="n"/>
      <c r="I79" s="38">
        <f>IF(TRIM(H79)&lt;&gt;"","✓ Answered",IF(G79="Y","⚠ Missing – AI Follow-Up","— Optional (not answered)"))</f>
        <v/>
      </c>
    </row>
    <row r="80" ht="23.25" customHeight="1" s="29">
      <c r="A80" s="42" t="inlineStr">
        <is>
          <t>FA-010</t>
        </is>
      </c>
      <c r="B80" s="42" t="inlineStr">
        <is>
          <t>3 – Detailed Discovery (Follow-Up)</t>
        </is>
      </c>
      <c r="C80" s="42" t="inlineStr">
        <is>
          <t>FA</t>
        </is>
      </c>
      <c r="D80" s="43" t="inlineStr">
        <is>
          <t>Physical Inventory &amp; Tracking</t>
        </is>
      </c>
      <c r="E80" s="43" t="inlineStr">
        <is>
          <t>Is a periodic physical inventory of assets required, and how are discrepancies reconciled?</t>
        </is>
      </c>
      <c r="F80" s="42" t="inlineStr">
        <is>
          <t>Free Text</t>
        </is>
      </c>
      <c r="G80" s="42" t="inlineStr">
        <is>
          <t>N</t>
        </is>
      </c>
      <c r="H80" s="37" t="n"/>
      <c r="I80" s="38">
        <f>IF(TRIM(H80)&lt;&gt;"","✓ Answered",IF(G80="Y","⚠ Missing – AI Follow-Up","— Optional (not answered)"))</f>
        <v/>
      </c>
    </row>
    <row r="81" ht="23.25" customHeight="1" s="29">
      <c r="A81" s="42" t="inlineStr">
        <is>
          <t>FA-011</t>
        </is>
      </c>
      <c r="B81" s="42" t="inlineStr">
        <is>
          <t>3 – Detailed Discovery (Follow-Up)</t>
        </is>
      </c>
      <c r="C81" s="42" t="inlineStr">
        <is>
          <t>FA</t>
        </is>
      </c>
      <c r="D81" s="43" t="inlineStr">
        <is>
          <t>Physical Inventory &amp; Tracking</t>
        </is>
      </c>
      <c r="E81" s="43" t="inlineStr">
        <is>
          <t>Are assets tagged/barcoded, and does location tracking need to integrate with other systems?</t>
        </is>
      </c>
      <c r="F81" s="42" t="inlineStr">
        <is>
          <t>Free Text</t>
        </is>
      </c>
      <c r="G81" s="42" t="inlineStr">
        <is>
          <t>N</t>
        </is>
      </c>
      <c r="H81" s="37" t="n"/>
      <c r="I81" s="38">
        <f>IF(TRIM(H81)&lt;&gt;"","✓ Answered",IF(G81="Y","⚠ Missing – AI Follow-Up","— Optional (not answered)"))</f>
        <v/>
      </c>
    </row>
    <row r="82" ht="15" customHeight="1" s="29">
      <c r="A82" s="42" t="inlineStr">
        <is>
          <t>FA-012</t>
        </is>
      </c>
      <c r="B82" s="42" t="inlineStr">
        <is>
          <t>3 – Detailed Discovery (Follow-Up)</t>
        </is>
      </c>
      <c r="C82" s="42" t="inlineStr">
        <is>
          <t>FA</t>
        </is>
      </c>
      <c r="D82" s="43" t="inlineStr">
        <is>
          <t>Reporting &amp; Compliance</t>
        </is>
      </c>
      <c r="E82" s="43" t="inlineStr">
        <is>
          <t>What tax depreciation reporting (e.g., federal/state tax books) is required?</t>
        </is>
      </c>
      <c r="F82" s="42" t="inlineStr">
        <is>
          <t>Free Text</t>
        </is>
      </c>
      <c r="G82" s="42" t="inlineStr">
        <is>
          <t>Y</t>
        </is>
      </c>
      <c r="H82" s="37" t="n"/>
      <c r="I82" s="38">
        <f>IF(TRIM(H82)&lt;&gt;"","✓ Answered",IF(G82="Y","⚠ Missing – AI Follow-Up","— Optional (not answered)"))</f>
        <v/>
      </c>
    </row>
    <row r="83" ht="23.25" customHeight="1" s="29">
      <c r="A83" s="42" t="inlineStr">
        <is>
          <t>FA-013</t>
        </is>
      </c>
      <c r="B83" s="42" t="inlineStr">
        <is>
          <t>3 – Detailed Discovery (Follow-Up)</t>
        </is>
      </c>
      <c r="C83" s="42" t="inlineStr">
        <is>
          <t>FA</t>
        </is>
      </c>
      <c r="D83" s="43" t="inlineStr">
        <is>
          <t>Reporting &amp; Compliance</t>
        </is>
      </c>
      <c r="E83" s="43" t="inlineStr">
        <is>
          <t>What standard FA reports are required (asset register, depreciation forecast, disposal summary)?</t>
        </is>
      </c>
      <c r="F83" s="42" t="inlineStr">
        <is>
          <t>Free Text</t>
        </is>
      </c>
      <c r="G83" s="42" t="inlineStr">
        <is>
          <t>Y</t>
        </is>
      </c>
      <c r="H83" s="37" t="n"/>
      <c r="I83" s="38">
        <f>IF(TRIM(H83)&lt;&gt;"","✓ Answered",IF(G83="Y","⚠ Missing – AI Follow-Up","— Optional (not answered)"))</f>
        <v/>
      </c>
    </row>
    <row r="84" ht="23.25" customHeight="1" s="29">
      <c r="A84" s="42" t="inlineStr">
        <is>
          <t>CM-001</t>
        </is>
      </c>
      <c r="B84" s="42" t="inlineStr">
        <is>
          <t>3 – Detailed Discovery (Follow-Up)</t>
        </is>
      </c>
      <c r="C84" s="42" t="inlineStr">
        <is>
          <t>CM</t>
        </is>
      </c>
      <c r="D84" s="43" t="inlineStr">
        <is>
          <t>Bank Account Structure</t>
        </is>
      </c>
      <c r="E84" s="43" t="inlineStr">
        <is>
          <t>How many bank accounts and banking relationships need to be set up, and at what level (legal entity, business unit)?</t>
        </is>
      </c>
      <c r="F84" s="42" t="inlineStr">
        <is>
          <t>Free Text</t>
        </is>
      </c>
      <c r="G84" s="42" t="inlineStr">
        <is>
          <t>Y</t>
        </is>
      </c>
      <c r="H84" s="37" t="n"/>
      <c r="I84" s="38">
        <f>IF(TRIM(H84)&lt;&gt;"","✓ Answered",IF(G84="Y","⚠ Missing – AI Follow-Up","— Optional (not answered)"))</f>
        <v/>
      </c>
    </row>
    <row r="85" ht="23.25" customHeight="1" s="29">
      <c r="A85" s="42" t="inlineStr">
        <is>
          <t>CM-002</t>
        </is>
      </c>
      <c r="B85" s="42" t="inlineStr">
        <is>
          <t>3 – Detailed Discovery (Follow-Up)</t>
        </is>
      </c>
      <c r="C85" s="42" t="inlineStr">
        <is>
          <t>CM</t>
        </is>
      </c>
      <c r="D85" s="43" t="inlineStr">
        <is>
          <t>Bank Account Structure</t>
        </is>
      </c>
      <c r="E85" s="43" t="inlineStr">
        <is>
          <t>Who requires access to bank account setup and reconciliation, and what segregation of duties is required?</t>
        </is>
      </c>
      <c r="F85" s="42" t="inlineStr">
        <is>
          <t>Free Text</t>
        </is>
      </c>
      <c r="G85" s="42" t="inlineStr">
        <is>
          <t>Y</t>
        </is>
      </c>
      <c r="H85" s="37" t="n"/>
      <c r="I85" s="38">
        <f>IF(TRIM(H85)&lt;&gt;"","✓ Answered",IF(G85="Y","⚠ Missing – AI Follow-Up","— Optional (not answered)"))</f>
        <v/>
      </c>
    </row>
    <row r="86" ht="23.25" customHeight="1" s="29">
      <c r="A86" s="42" t="inlineStr">
        <is>
          <t>CM-003</t>
        </is>
      </c>
      <c r="B86" s="42" t="inlineStr">
        <is>
          <t>3 – Detailed Discovery (Follow-Up)</t>
        </is>
      </c>
      <c r="C86" s="42" t="inlineStr">
        <is>
          <t>CM</t>
        </is>
      </c>
      <c r="D86" s="43" t="inlineStr">
        <is>
          <t>Cash Positioning &amp; Forecasting</t>
        </is>
      </c>
      <c r="E86" s="43" t="inlineStr">
        <is>
          <t>How frequently is cash position reviewed, and what visibility is needed across entities/currencies?</t>
        </is>
      </c>
      <c r="F86" s="42" t="inlineStr">
        <is>
          <t>Free Text</t>
        </is>
      </c>
      <c r="G86" s="42" t="inlineStr">
        <is>
          <t>Y</t>
        </is>
      </c>
      <c r="H86" s="37" t="n"/>
      <c r="I86" s="38">
        <f>IF(TRIM(H86)&lt;&gt;"","✓ Answered",IF(G86="Y","⚠ Missing – AI Follow-Up","— Optional (not answered)"))</f>
        <v/>
      </c>
    </row>
    <row r="87" ht="23.25" customHeight="1" s="29">
      <c r="A87" s="42" t="inlineStr">
        <is>
          <t>CM-004</t>
        </is>
      </c>
      <c r="B87" s="42" t="inlineStr">
        <is>
          <t>3 – Detailed Discovery (Follow-Up)</t>
        </is>
      </c>
      <c r="C87" s="42" t="inlineStr">
        <is>
          <t>CM</t>
        </is>
      </c>
      <c r="D87" s="43" t="inlineStr">
        <is>
          <t>Cash Positioning &amp; Forecasting</t>
        </is>
      </c>
      <c r="E87" s="43" t="inlineStr">
        <is>
          <t>Is cash forecasting required, and what data feeds into it (AP/AR projections, payroll, etc.)?</t>
        </is>
      </c>
      <c r="F87" s="42" t="inlineStr">
        <is>
          <t>Free Text</t>
        </is>
      </c>
      <c r="G87" s="42" t="inlineStr">
        <is>
          <t>N</t>
        </is>
      </c>
      <c r="H87" s="37" t="n"/>
      <c r="I87" s="38">
        <f>IF(TRIM(H87)&lt;&gt;"","✓ Answered",IF(G87="Y","⚠ Missing – AI Follow-Up","— Optional (not answered)"))</f>
        <v/>
      </c>
    </row>
    <row r="88" ht="23.25" customHeight="1" s="29">
      <c r="A88" s="42" t="inlineStr">
        <is>
          <t>CM-005</t>
        </is>
      </c>
      <c r="B88" s="42" t="inlineStr">
        <is>
          <t>3 – Detailed Discovery (Follow-Up)</t>
        </is>
      </c>
      <c r="C88" s="42" t="inlineStr">
        <is>
          <t>CM</t>
        </is>
      </c>
      <c r="D88" s="43" t="inlineStr">
        <is>
          <t>Bank Statement Reconciliation</t>
        </is>
      </c>
      <c r="E88" s="43" t="inlineStr">
        <is>
          <t>Are bank statements reconciled manually or via automated bank feeds (e.g., BAI2, SWIFT)?</t>
        </is>
      </c>
      <c r="F88" s="42" t="inlineStr">
        <is>
          <t>Free Text</t>
        </is>
      </c>
      <c r="G88" s="42" t="inlineStr">
        <is>
          <t>Y</t>
        </is>
      </c>
      <c r="H88" s="37" t="n"/>
      <c r="I88" s="38">
        <f>IF(TRIM(H88)&lt;&gt;"","✓ Answered",IF(G88="Y","⚠ Missing – AI Follow-Up","— Optional (not answered)"))</f>
        <v/>
      </c>
    </row>
    <row r="89" ht="15" customHeight="1" s="29">
      <c r="A89" s="42" t="inlineStr">
        <is>
          <t>CM-006</t>
        </is>
      </c>
      <c r="B89" s="42" t="inlineStr">
        <is>
          <t>3 – Detailed Discovery (Follow-Up)</t>
        </is>
      </c>
      <c r="C89" s="42" t="inlineStr">
        <is>
          <t>CM</t>
        </is>
      </c>
      <c r="D89" s="43" t="inlineStr">
        <is>
          <t>Bank Statement Reconciliation</t>
        </is>
      </c>
      <c r="E89" s="43" t="inlineStr">
        <is>
          <t>What matching rules or tolerances are needed to auto-reconcile transactions?</t>
        </is>
      </c>
      <c r="F89" s="42" t="inlineStr">
        <is>
          <t>Free Text</t>
        </is>
      </c>
      <c r="G89" s="42" t="inlineStr">
        <is>
          <t>Y</t>
        </is>
      </c>
      <c r="H89" s="37" t="n"/>
      <c r="I89" s="38">
        <f>IF(TRIM(H89)&lt;&gt;"","✓ Answered",IF(G89="Y","⚠ Missing – AI Follow-Up","— Optional (not answered)"))</f>
        <v/>
      </c>
    </row>
    <row r="90" ht="15" customHeight="1" s="29">
      <c r="A90" s="42" t="inlineStr">
        <is>
          <t>CM-007</t>
        </is>
      </c>
      <c r="B90" s="42" t="inlineStr">
        <is>
          <t>3 – Detailed Discovery (Follow-Up)</t>
        </is>
      </c>
      <c r="C90" s="42" t="inlineStr">
        <is>
          <t>CM</t>
        </is>
      </c>
      <c r="D90" s="43" t="inlineStr">
        <is>
          <t>Transactions &amp; Transfers</t>
        </is>
      </c>
      <c r="E90" s="43" t="inlineStr">
        <is>
          <t>How are inter-bank or intercompany transfers initiated and recorded?</t>
        </is>
      </c>
      <c r="F90" s="42" t="inlineStr">
        <is>
          <t>Free Text</t>
        </is>
      </c>
      <c r="G90" s="42" t="inlineStr">
        <is>
          <t>N</t>
        </is>
      </c>
      <c r="H90" s="37" t="n"/>
      <c r="I90" s="38">
        <f>IF(TRIM(H90)&lt;&gt;"","✓ Answered",IF(G90="Y","⚠ Missing – AI Follow-Up","— Optional (not answered)"))</f>
        <v/>
      </c>
    </row>
    <row r="91" ht="23.25" customHeight="1" s="29">
      <c r="A91" s="42" t="inlineStr">
        <is>
          <t>CM-008</t>
        </is>
      </c>
      <c r="B91" s="42" t="inlineStr">
        <is>
          <t>3 – Detailed Discovery (Follow-Up)</t>
        </is>
      </c>
      <c r="C91" s="42" t="inlineStr">
        <is>
          <t>CM</t>
        </is>
      </c>
      <c r="D91" s="43" t="inlineStr">
        <is>
          <t>Transactions &amp; Transfers</t>
        </is>
      </c>
      <c r="E91" s="43" t="inlineStr">
        <is>
          <t>What payment file formats are required for outbound disbursements (e.g., NACHA, ISO 20022)?</t>
        </is>
      </c>
      <c r="F91" s="42" t="inlineStr">
        <is>
          <t>Free Text</t>
        </is>
      </c>
      <c r="G91" s="42" t="inlineStr">
        <is>
          <t>Y</t>
        </is>
      </c>
      <c r="H91" s="37" t="n"/>
      <c r="I91" s="38">
        <f>IF(TRIM(H91)&lt;&gt;"","✓ Answered",IF(G91="Y","⚠ Missing – AI Follow-Up","— Optional (not answered)"))</f>
        <v/>
      </c>
    </row>
    <row r="92" ht="23.25" customHeight="1" s="29">
      <c r="A92" s="42" t="inlineStr">
        <is>
          <t>CM-009</t>
        </is>
      </c>
      <c r="B92" s="42" t="inlineStr">
        <is>
          <t>3 – Detailed Discovery (Follow-Up)</t>
        </is>
      </c>
      <c r="C92" s="42" t="inlineStr">
        <is>
          <t>CM</t>
        </is>
      </c>
      <c r="D92" s="43" t="inlineStr">
        <is>
          <t>Reporting &amp; Compliance</t>
        </is>
      </c>
      <c r="E92" s="43" t="inlineStr">
        <is>
          <t>What CM-specific reports are required (cash position, bank reconciliation status, transaction detail)?</t>
        </is>
      </c>
      <c r="F92" s="42" t="inlineStr">
        <is>
          <t>Free Text</t>
        </is>
      </c>
      <c r="G92" s="42" t="inlineStr">
        <is>
          <t>Y</t>
        </is>
      </c>
      <c r="H92" s="37" t="n"/>
      <c r="I92" s="38">
        <f>IF(TRIM(H92)&lt;&gt;"","✓ Answered",IF(G92="Y","⚠ Missing – AI Follow-Up","— Optional (not answered)"))</f>
        <v/>
      </c>
    </row>
  </sheetData>
  <autoFilter ref="A1:I9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C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28" min="1" max="1"/>
    <col width="20" customWidth="1" style="28" min="2" max="2"/>
    <col width="70" customWidth="1" style="28" min="3" max="3"/>
  </cols>
  <sheetData>
    <row r="1" ht="21.75" customHeight="1" s="29">
      <c r="A1" s="34" t="inlineStr">
        <is>
          <t>Module</t>
        </is>
      </c>
      <c r="B1" s="34" t="inlineStr">
        <is>
          <t>In Scope?</t>
        </is>
      </c>
      <c r="C1" s="34" t="inlineStr">
        <is>
          <t>Basis for Recommendation</t>
        </is>
      </c>
    </row>
    <row r="2" ht="15" customHeight="1" s="29">
      <c r="A2" s="43" t="inlineStr">
        <is>
          <t>General Ledger (GL)</t>
        </is>
      </c>
      <c r="B2" s="38">
        <f>"Included – Required"</f>
        <v/>
      </c>
      <c r="C2" s="44">
        <f>"Foundation module; required for every implementation."</f>
        <v/>
      </c>
    </row>
    <row r="3" ht="15" customHeight="1" s="29">
      <c r="A3" s="43" t="inlineStr">
        <is>
          <t>Accounts Payable (AP)</t>
        </is>
      </c>
      <c r="B3" s="38">
        <f>IF('Discovery Questions'!$H$13="Yes","Included",IF(TRIM('Discovery Questions'!$H$13)="","Pending qualifier answer","Not in scope"))</f>
        <v/>
      </c>
      <c r="C3" s="44">
        <f>"Based on "&amp;"QUAL-AP"&amp;": "&amp;IF(TRIM('Discovery Questions'!$H$13)="","not yet answered.",'Discovery Questions'!$H$13&amp;" – "&amp;'Discovery Questions'!$E$13)</f>
        <v/>
      </c>
    </row>
    <row r="4" ht="15" customHeight="1" s="29">
      <c r="A4" s="43" t="inlineStr">
        <is>
          <t>Accounts Receivable (AR)</t>
        </is>
      </c>
      <c r="B4" s="38">
        <f>IF('Discovery Questions'!$H$14="Yes","Included",IF(TRIM('Discovery Questions'!$H$14)="","Pending qualifier answer","Not in scope"))</f>
        <v/>
      </c>
      <c r="C4" s="44">
        <f>"Based on "&amp;"QUAL-AR"&amp;": "&amp;IF(TRIM('Discovery Questions'!$H$14)="","not yet answered.",'Discovery Questions'!$H$14&amp;" – "&amp;'Discovery Questions'!$E$14)</f>
        <v/>
      </c>
    </row>
    <row r="5" ht="15" customHeight="1" s="29">
      <c r="A5" s="43" t="inlineStr">
        <is>
          <t>Fixed Assets (FA)</t>
        </is>
      </c>
      <c r="B5" s="38">
        <f>IF('Discovery Questions'!$H$15="Yes","Included",IF(TRIM('Discovery Questions'!$H$15)="","Pending qualifier answer","Not in scope"))</f>
        <v/>
      </c>
      <c r="C5" s="44">
        <f>"Based on "&amp;"QUAL-FA"&amp;": "&amp;IF(TRIM('Discovery Questions'!$H$15)="","not yet answered.",'Discovery Questions'!$H$15&amp;" – "&amp;'Discovery Questions'!$E$15)</f>
        <v/>
      </c>
    </row>
    <row r="6" ht="15" customHeight="1" s="29">
      <c r="A6" s="43" t="inlineStr">
        <is>
          <t>Cash Management (CM)</t>
        </is>
      </c>
      <c r="B6" s="38">
        <f>IF('Discovery Questions'!$H$16="Yes","Included",IF(TRIM('Discovery Questions'!$H$16)="","Pending qualifier answer","Not in scope"))</f>
        <v/>
      </c>
      <c r="C6" s="44">
        <f>"Based on "&amp;"QUAL-CM"&amp;": "&amp;IF(TRIM('Discovery Questions'!$H$16)="","not yet answered.",'Discovery Questions'!$H$16&amp;" – "&amp;'Discovery Questions'!$E$16)</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58"/>
  <sheetViews>
    <sheetView showFormulas="0" showGridLines="1" showRowColHeaders="1" showZeros="1" rightToLeft="0" tabSelected="0" showOutlineSymbols="1" defaultGridColor="1"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28" min="1" max="1"/>
    <col width="46" customWidth="1" style="28" min="2" max="2"/>
    <col width="30" customWidth="1" style="28" min="3" max="3"/>
    <col width="40" customWidth="1" style="28" min="4" max="4"/>
    <col width="60" customWidth="1" style="28" min="5" max="5"/>
  </cols>
  <sheetData>
    <row r="1" ht="17.35" customHeight="1" s="29">
      <c r="A1" s="45" t="inlineStr">
        <is>
          <t>Discovery Questions → OCWI GL Configuration Cookbook Mapping</t>
        </is>
      </c>
    </row>
    <row r="2" ht="15" customHeight="1" s="29">
      <c r="A2" s="31" t="inlineStr">
        <is>
          <t>Built against the client-filled reference: OCWI_-_FilledOut_Oracle_Cloud_GL_Configuration_Workbook.xlsx</t>
        </is>
      </c>
    </row>
    <row r="4" ht="15" customHeight="1" s="29">
      <c r="A4" s="32" t="inlineStr">
        <is>
          <t>Each row below shows which cookbook tab and field(s) a Discovery Question answer ultimately populates.</t>
        </is>
      </c>
    </row>
    <row r="5" ht="15" customHeight="1" s="29">
      <c r="A5" s="32" t="inlineStr">
        <is>
          <t>This is what the AI-assisted workflow uses to auto-fill the cookbook once the questionnaire is answered.</t>
        </is>
      </c>
    </row>
    <row r="6" ht="15" customHeight="1" s="29">
      <c r="A6" s="32" t="n"/>
    </row>
    <row r="7" ht="15" customHeight="1" s="29">
      <c r="A7" s="32" t="inlineStr">
        <is>
          <t>Not every Discovery Question maps to a cookbook cell — some (data conversion scope, reporting inventory,</t>
        </is>
      </c>
    </row>
    <row r="8" ht="15" customHeight="1" s="29">
      <c r="A8" s="32" t="inlineStr">
        <is>
          <t>location tracking) inform the broader engagement but aren't Oracle Cloud setup fields themselves. Those</t>
        </is>
      </c>
    </row>
    <row r="9" ht="15" customHeight="1" s="29">
      <c r="A9" s="32" t="inlineStr">
        <is>
          <t>are marked 'Not Mapped' with the reason, highlighted in red below.</t>
        </is>
      </c>
    </row>
    <row r="10" ht="15" customHeight="1" s="29">
      <c r="A10" s="32" t="n"/>
    </row>
    <row r="11" ht="15" customHeight="1" s="29">
      <c r="A11" s="32" t="inlineStr">
        <is>
          <t>A second table further down flags cookbook tabs that currently have NO Discovery Question feeding them at</t>
        </is>
      </c>
    </row>
    <row r="12" ht="15" customHeight="1" s="29">
      <c r="A12" s="32" t="inlineStr">
        <is>
          <t>all — real setup areas (Ledger, Legal Entity, Accounting Calendar detail, Journal Sources, Intercompany,</t>
        </is>
      </c>
    </row>
    <row r="13" ht="15" customHeight="1" s="29">
      <c r="A13" s="32" t="inlineStr">
        <is>
          <t>budgetary control depth, etc.) the questionnaire doesn't ask about yet. Highlighted in yellow.</t>
        </is>
      </c>
    </row>
    <row r="15" ht="15" customHeight="1" s="29">
      <c r="A15" s="34" t="inlineStr">
        <is>
          <t>Question ID</t>
        </is>
      </c>
      <c r="B15" s="34" t="inlineStr">
        <is>
          <t>Discovery Question (short)</t>
        </is>
      </c>
      <c r="C15" s="34" t="inlineStr">
        <is>
          <t>Cookbook Tab</t>
        </is>
      </c>
      <c r="D15" s="34" t="inlineStr">
        <is>
          <t>Cookbook Field(s)</t>
        </is>
      </c>
      <c r="E15" s="34" t="inlineStr">
        <is>
          <t>Mapping Notes</t>
        </is>
      </c>
    </row>
    <row r="16" ht="15" customHeight="1" s="29">
      <c r="A16" s="46" t="inlineStr">
        <is>
          <t>QUAL-GL</t>
        </is>
      </c>
      <c r="B16" s="46" t="inlineStr">
        <is>
          <t>Is General Ledger required?</t>
        </is>
      </c>
      <c r="C16" s="46" t="inlineStr">
        <is>
          <t>(scoping only)</t>
        </is>
      </c>
      <c r="D16" s="46" t="inlineStr">
        <is>
          <t>—</t>
        </is>
      </c>
      <c r="E16" s="46" t="inlineStr">
        <is>
          <t>Gates whether this cookbook applies at all; not a cookbook field itself.</t>
        </is>
      </c>
    </row>
    <row r="17" ht="23.85" customHeight="1" s="29">
      <c r="A17" s="43" t="inlineStr">
        <is>
          <t>INTAKE-001</t>
        </is>
      </c>
      <c r="B17" s="43" t="inlineStr">
        <is>
          <t>Client's full legal company name</t>
        </is>
      </c>
      <c r="C17" s="43" t="inlineStr">
        <is>
          <t>Legal Entity</t>
        </is>
      </c>
      <c r="D17" s="43" t="inlineStr">
        <is>
          <t>Legal Entity Name</t>
        </is>
      </c>
      <c r="E17" s="43" t="inlineStr">
        <is>
          <t>Also seeds the Ledger tab's Description field (e.g., “Outagamie County” in the reference).</t>
        </is>
      </c>
    </row>
    <row r="18" ht="46.25" customHeight="1" s="29">
      <c r="A18" s="43" t="inlineStr">
        <is>
          <t>GL-001</t>
        </is>
      </c>
      <c r="B18" s="43" t="inlineStr">
        <is>
          <t>Legal names, addresses, Tax IDs, statutory reporting obligations per entity</t>
        </is>
      </c>
      <c r="C18" s="43" t="inlineStr">
        <is>
          <t>Legal Entity</t>
        </is>
      </c>
      <c r="D18" s="43" t="inlineStr">
        <is>
          <t>Legal Entity Name; Legal Entity Identifier; Address Line1/2, City, State, Postal Code; *EIN or TIN; Jurisdiction; Legal Reporting Unit Registration Number</t>
        </is>
      </c>
      <c r="E18" s="43" t="inlineStr">
        <is>
          <t>One row per legal entity. Statutory reporting obligations aren't a single field — they inform which DFFs/segment values get built (see GL-022/GL-023).</t>
        </is>
      </c>
    </row>
    <row r="19" ht="46.25" customHeight="1" s="29">
      <c r="A19" s="43" t="inlineStr">
        <is>
          <t>GL-002</t>
        </is>
      </c>
      <c r="B19" s="43" t="inlineStr">
        <is>
          <t>Primary currency, multi-currency requirement, accounting method</t>
        </is>
      </c>
      <c r="C19" s="43" t="inlineStr">
        <is>
          <t>Ledger; Currency; Conversion Rate Types</t>
        </is>
      </c>
      <c r="D19" s="43" t="inlineStr">
        <is>
          <t>Ledger: *Currency, *Accounting Method. Currency: per-currency Enabled flag. Conversion Rate Types: Default Rate Type, Enable Cross Rates (only if multi-currency).</t>
        </is>
      </c>
      <c r="E19" s="43" t="inlineStr">
        <is>
          <t>Single-currency clients only need the Ledger fields; multi-currency answers also drive which rows get enabled on the Currency and Conversion Rate Types tabs.</t>
        </is>
      </c>
    </row>
    <row r="20" ht="23.85" customHeight="1" s="29">
      <c r="A20" s="46" t="inlineStr">
        <is>
          <t>GL-003</t>
        </is>
      </c>
      <c r="B20" s="46" t="inlineStr">
        <is>
          <t>Physical location tracking level / integration with IT or asset systems</t>
        </is>
      </c>
      <c r="C20" s="46" t="inlineStr">
        <is>
          <t>—</t>
        </is>
      </c>
      <c r="D20" s="46" t="inlineStr">
        <is>
          <t>—</t>
        </is>
      </c>
      <c r="E20" s="46" t="inlineStr">
        <is>
          <t>Not Mapped — this is an HCM/Fixed Assets location-tracking concern, not a GL cookbook field.</t>
        </is>
      </c>
    </row>
    <row r="21" ht="46.25" customHeight="1" s="29">
      <c r="A21" s="43" t="inlineStr">
        <is>
          <t>GL-004</t>
        </is>
      </c>
      <c r="B21" s="43" t="inlineStr">
        <is>
          <t>Does the segment structure (Fund, Cost Center, Subsidiary, Natural Account, Activity, Future 1) cover all needs?</t>
        </is>
      </c>
      <c r="C21" s="43" t="inlineStr">
        <is>
          <t>Manage COA Value Sets; Manage COA Structures</t>
        </is>
      </c>
      <c r="D21" s="43" t="inlineStr">
        <is>
          <t>Value Sets: Value Set Code, Maximum Length, Uppercase Only. Structures: Segment Sequence, Name, Segment Code, Selected Label (e.g., Primary Balancing Segment, Natural Account Segment).</t>
        </is>
      </c>
      <c r="E21" s="43" t="inlineStr">
        <is>
          <t>Directly matches the COA setup tool's output — same fields, same Fusion validation rule (needs a Primary Balancing + Natural Account segment).</t>
        </is>
      </c>
    </row>
    <row r="22" ht="23.85" customHeight="1" s="29">
      <c r="A22" s="43" t="inlineStr">
        <is>
          <t>GL-005</t>
        </is>
      </c>
      <c r="B22" s="43" t="inlineStr">
        <is>
          <t>Dynamic account combination creation vs. Finance-approved only</t>
        </is>
      </c>
      <c r="C22" s="43" t="inlineStr">
        <is>
          <t>Manage COA Structure Instances</t>
        </is>
      </c>
      <c r="D22" s="43" t="inlineStr">
        <is>
          <t>Dynamic combination creation allowed (Yes/No)</t>
        </is>
      </c>
      <c r="E22" s="43" t="inlineStr">
        <is>
          <t>Direct 1:1 field match.</t>
        </is>
      </c>
    </row>
    <row r="23" ht="46.25" customHeight="1" s="29">
      <c r="A23" s="43" t="inlineStr">
        <is>
          <t>GL-006</t>
        </is>
      </c>
      <c r="B23" s="43" t="inlineStr">
        <is>
          <t>Cross-validation rules to block invalid combinations; department access restrictions</t>
        </is>
      </c>
      <c r="C23" s="43" t="inlineStr">
        <is>
          <t>Cross-Validation Rules; Segment Security</t>
        </is>
      </c>
      <c r="D23" s="43" t="inlineStr">
        <is>
          <t>CVR: Name, Condition Details, Condition Filter Segment/Values, Validation Filter Segment/Values, Error Message. Segment Security: Segment Name, Role, Tree Node for Access.</t>
        </is>
      </c>
      <c r="E23" s="43" t="inlineStr">
        <is>
          <t>Two different cookbook tabs from one discovery question — split the answer between rule logic (CVR) and role-based access (Segment Security).</t>
        </is>
      </c>
    </row>
    <row r="24" ht="35.05" customHeight="1" s="29">
      <c r="A24" s="43" t="inlineStr">
        <is>
          <t>GL-007</t>
        </is>
      </c>
      <c r="B24" s="43" t="inlineStr">
        <is>
          <t>Approval workflow/board requirement for adding new projects, funds, or segment values</t>
        </is>
      </c>
      <c r="C24" s="43" t="inlineStr">
        <is>
          <t>Manage COA Segment Values</t>
        </is>
      </c>
      <c r="D24" s="43" t="inlineStr">
        <is>
          <t>Enabled, Start Date, End Date (governs when a new value goes live)</t>
        </is>
      </c>
      <c r="E24" s="43" t="inlineStr">
        <is>
          <t>The approval process itself isn't a cookbook field — only its outcome (the value's effective dates) lands in the cookbook. Document the workflow in the Solution Document, not here.</t>
        </is>
      </c>
    </row>
    <row r="25" ht="15" customHeight="1" s="29">
      <c r="A25" s="43" t="inlineStr">
        <is>
          <t>GL-008</t>
        </is>
      </c>
      <c r="B25" s="43" t="inlineStr">
        <is>
          <t>Standard calendar year vs. custom fiscal period</t>
        </is>
      </c>
      <c r="C25" s="43" t="inlineStr">
        <is>
          <t>Manage Accounting Calendar</t>
        </is>
      </c>
      <c r="D25" s="43" t="inlineStr">
        <is>
          <t>Period Frequency, Start Date, Format, First Period</t>
        </is>
      </c>
      <c r="E25" s="43" t="inlineStr">
        <is>
          <t>Direct match.</t>
        </is>
      </c>
    </row>
    <row r="26" ht="15" customHeight="1" s="29">
      <c r="A26" s="43" t="inlineStr">
        <is>
          <t>GL-009</t>
        </is>
      </c>
      <c r="B26" s="43" t="inlineStr">
        <is>
          <t>One vs. two adjusting periods at year-end</t>
        </is>
      </c>
      <c r="C26" s="43" t="inlineStr">
        <is>
          <t>Manage Accounting Calendar</t>
        </is>
      </c>
      <c r="D26" s="43" t="inlineStr">
        <is>
          <t>Adjusting Period Frequency</t>
        </is>
      </c>
      <c r="E26" s="43" t="inlineStr">
        <is>
          <t>Direct match — reference shows “Twice at year end.”</t>
        </is>
      </c>
    </row>
    <row r="27" ht="35.05" customHeight="1" s="29">
      <c r="A27" s="43" t="inlineStr">
        <is>
          <t>GL-010</t>
        </is>
      </c>
      <c r="B27" s="43" t="inlineStr">
        <is>
          <t>Soft-close, reopening prior periods, future-entry status policy</t>
        </is>
      </c>
      <c r="C27" s="43" t="inlineStr">
        <is>
          <t>Ledger</t>
        </is>
      </c>
      <c r="D27" s="43" t="inlineStr">
        <is>
          <t>Number of Future Enterable Periods</t>
        </is>
      </c>
      <c r="E27" s="43" t="inlineStr">
        <is>
          <t>Only the future-enterable-periods policy has a direct field; soft-close/reopen policy is enforced procedurally (period status changes), not a static cookbook cell.</t>
        </is>
      </c>
    </row>
    <row r="28" ht="23.85" customHeight="1" s="29">
      <c r="A28" s="43" t="inlineStr">
        <is>
          <t>GL-011</t>
        </is>
      </c>
      <c r="B28" s="43" t="inlineStr">
        <is>
          <t>Types of manual journals entered (accruals, reclassifications, interfund billings)</t>
        </is>
      </c>
      <c r="C28" s="43" t="inlineStr">
        <is>
          <t>Journal Categories</t>
        </is>
      </c>
      <c r="D28" s="43" t="inlineStr">
        <is>
          <t>Category Name, Category Key, Description, Exclude from Manual Journal Entry</t>
        </is>
      </c>
      <c r="E28" s="43" t="inlineStr">
        <is>
          <t>Each journal type the client names becomes a custom row on this tab.</t>
        </is>
      </c>
    </row>
    <row r="29" ht="23.85" customHeight="1" s="29">
      <c r="A29" s="43" t="inlineStr">
        <is>
          <t>GL-012</t>
        </is>
      </c>
      <c r="B29" s="43" t="inlineStr">
        <is>
          <t>Dollar thresholds / role hierarchies for journal approval</t>
        </is>
      </c>
      <c r="C29" s="43" t="inlineStr">
        <is>
          <t>Journal Approval</t>
        </is>
      </c>
      <c r="D29" s="43" t="inlineStr">
        <is>
          <t>Approval Type, Approval Group, Member, Type</t>
        </is>
      </c>
      <c r="E29" s="43" t="inlineStr">
        <is>
          <t>Dollar-threshold routing logic lives in the approval rule configuration; the group/member roster lands directly on this tab.</t>
        </is>
      </c>
    </row>
    <row r="30" ht="35.05" customHeight="1" s="29">
      <c r="A30" s="43" t="inlineStr">
        <is>
          <t>GL-013</t>
        </is>
      </c>
      <c r="B30" s="43" t="inlineStr">
        <is>
          <t>Which subledgers post automatically to GL vs. manual review</t>
        </is>
      </c>
      <c r="C30" s="43" t="inlineStr">
        <is>
          <t>Ledger; Journal Sources</t>
        </is>
      </c>
      <c r="D30" s="43" t="inlineStr">
        <is>
          <t>Ledger: Post Journals Automatically from Source Ledger. Journal Sources (per source, e.g. Assets, Payables): Freeze Journals, Require Journal Approval.</t>
        </is>
      </c>
      <c r="E30" s="43" t="inlineStr">
        <is>
          <t>One high-level Ledger flag plus per-subledger source settings.</t>
        </is>
      </c>
    </row>
    <row r="31" ht="46.25" customHeight="1" s="29">
      <c r="A31" s="43" t="inlineStr">
        <is>
          <t>GL-014</t>
        </is>
      </c>
      <c r="B31" s="43" t="inlineStr">
        <is>
          <t>Departments needing automatic accrual reversals; exceptions</t>
        </is>
      </c>
      <c r="C31" s="43" t="inlineStr">
        <is>
          <t>Journal Reversal Criteria Sets; Ledger</t>
        </is>
      </c>
      <c r="D31" s="43" t="inlineStr">
        <is>
          <t>Criteria Sets: Name, Category, Reversal Period, Reversal Method, Automatic Reversal Option. Ledger: Journal Reversal Criteria Set, Run AutoReverse after Open Period.</t>
        </is>
      </c>
      <c r="E31" s="43" t="inlineStr">
        <is>
          <t>Exceptions (e.g., grant/health departments needing manual reversal) become a second, more restrictive criteria set rather than a field on this one.</t>
        </is>
      </c>
    </row>
    <row r="32" ht="35.05" customHeight="1" s="29">
      <c r="A32" s="43" t="inlineStr">
        <is>
          <t>GL-015</t>
        </is>
      </c>
      <c r="B32" s="43" t="inlineStr">
        <is>
          <t>Budget stages/versions to track (Proposed, Executive, Adopted, Amended)</t>
        </is>
      </c>
      <c r="C32" s="43" t="inlineStr">
        <is>
          <t>CB-OCWI Adopted-Monthly Track; CB-OCWI Budget; CB-OCWI Adopted BC (one Control Budget tab per stage)</t>
        </is>
      </c>
      <c r="D32" s="43" t="inlineStr">
        <is>
          <t>Control Budget Header: Name, Description, Budget Calendar, Status</t>
        </is>
      </c>
      <c r="E32" s="43" t="inlineStr">
        <is>
          <t>Each named budget stage the client needs becomes its own Control Budget tab, copied from these three reference examples.</t>
        </is>
      </c>
    </row>
    <row r="33" ht="35.05" customHeight="1" s="29">
      <c r="A33" s="43" t="inlineStr">
        <is>
          <t>GL-016</t>
        </is>
      </c>
      <c r="B33" s="43" t="inlineStr">
        <is>
          <t>Roll-up level for spending-limit enforcement (Fund, Cost Center, Department)</t>
        </is>
      </c>
      <c r="C33" s="43" t="inlineStr">
        <is>
          <t>Control Budget tabs (detail rows below the header)</t>
        </is>
      </c>
      <c r="D33" s="43" t="inlineStr">
        <is>
          <t>Budgetary control level / segment rollup rows</t>
        </is>
      </c>
      <c r="E33" s="43" t="inlineStr">
        <is>
          <t>Visible in the reference only as the tab's header; the enforcement-level detail rows sit further down each Control Budget sheet than this reference sample shows populated.</t>
        </is>
      </c>
    </row>
    <row r="34" ht="35.05" customHeight="1" s="29">
      <c r="A34" s="43" t="inlineStr">
        <is>
          <t>GL-017</t>
        </is>
      </c>
      <c r="B34" s="43" t="inlineStr">
        <is>
          <t>Absolute block vs. Advisory warning by account</t>
        </is>
      </c>
      <c r="C34" s="43" t="inlineStr">
        <is>
          <t>Control Budget tabs (detail rows below the header)</t>
        </is>
      </c>
      <c r="D34" s="43" t="inlineStr">
        <is>
          <t>Control level per account/segment (Absolute / Advisory)</t>
        </is>
      </c>
      <c r="E34" s="43" t="inlineStr">
        <is>
          <t>Same tabs as GL-016 — same caveat: not populated in this reference sample, so field-level layout should be confirmed against a live environment before building the mapping further.</t>
        </is>
      </c>
    </row>
    <row r="35" ht="23.85" customHeight="1" s="29">
      <c r="A35" s="46" t="inlineStr">
        <is>
          <t>GL-018</t>
        </is>
      </c>
      <c r="B35" s="46" t="inlineStr">
        <is>
          <t>Authority to grant budget overrides</t>
        </is>
      </c>
      <c r="C35" s="46" t="inlineStr">
        <is>
          <t>—</t>
        </is>
      </c>
      <c r="D35" s="46" t="inlineStr">
        <is>
          <t>—</t>
        </is>
      </c>
      <c r="E35" s="46" t="inlineStr">
        <is>
          <t>Not Mapped in this cookbook — override authority is a security/role assignment (who holds a budget-override duty role), not a field in these tabs.</t>
        </is>
      </c>
    </row>
    <row r="36" ht="15" customHeight="1" s="29">
      <c r="A36" s="43" t="inlineStr">
        <is>
          <t>GL-019</t>
        </is>
      </c>
      <c r="B36" s="43" t="inlineStr">
        <is>
          <t>Shared expenses to allocate (IT, facilities, admin overhead)</t>
        </is>
      </c>
      <c r="C36" s="43" t="inlineStr">
        <is>
          <t>Allocation</t>
        </is>
      </c>
      <c r="D36" s="43" t="inlineStr">
        <is>
          <t>Allocation Rule Name, Pool</t>
        </is>
      </c>
      <c r="E36" s="43" t="inlineStr">
        <is>
          <t>Each shared cost pool the client names becomes a Pool entry.</t>
        </is>
      </c>
    </row>
    <row r="37" ht="23.85" customHeight="1" s="29">
      <c r="A37" s="43" t="inlineStr">
        <is>
          <t>GL-020</t>
        </is>
      </c>
      <c r="B37" s="43" t="inlineStr">
        <is>
          <t>Allocation distribution drivers (percentages, headcount, square footage, statistical balances)</t>
        </is>
      </c>
      <c r="C37" s="43" t="inlineStr">
        <is>
          <t>Allocation</t>
        </is>
      </c>
      <c r="D37" s="43" t="inlineStr">
        <is>
          <t>Basis, Target, Offset</t>
        </is>
      </c>
      <c r="E37" s="43" t="inlineStr">
        <is>
          <t>The driver named in the answer determines what goes in the Basis columns.</t>
        </is>
      </c>
    </row>
    <row r="38" ht="23.85" customHeight="1" s="29">
      <c r="A38" s="43" t="inlineStr">
        <is>
          <t>GL-021</t>
        </is>
      </c>
      <c r="B38" s="43" t="inlineStr">
        <is>
          <t>Dynamic period-close allocation vs. fixed recurring schedule</t>
        </is>
      </c>
      <c r="C38" s="43" t="inlineStr">
        <is>
          <t>Allocation; Period Close Process</t>
        </is>
      </c>
      <c r="D38" s="43" t="inlineStr">
        <is>
          <t>Rule Type (on Allocation); process step ordering (on Period Close Process)</t>
        </is>
      </c>
      <c r="E38" s="43" t="inlineStr">
        <is>
          <t>Affects both which allocation rule type is built and where it sits in the close checklist.</t>
        </is>
      </c>
    </row>
    <row r="39" ht="35.05" customHeight="1" s="29">
      <c r="A39" s="43" t="inlineStr">
        <is>
          <t>GL-022</t>
        </is>
      </c>
      <c r="B39" s="43" t="inlineStr">
        <is>
          <t>How allowable vs. unallowable costs, federal awards, state codes are tracked today</t>
        </is>
      </c>
      <c r="C39" s="43" t="inlineStr">
        <is>
          <t>Descriptive Flexfields; DFF Values</t>
        </is>
      </c>
      <c r="D39" s="43" t="inlineStr">
        <is>
          <t>Descriptive Flexfields: Name, Flexfield Code, Segment Separator. DFF Values: DFF Name, Value, Description, Enabled.</t>
        </is>
      </c>
      <c r="E39" s="43" t="inlineStr">
        <is>
          <t>Exact match to the reference — the sample cookbook's “OCWI State Reporting Code” DFF is precisely this kind of answer turned into config.</t>
        </is>
      </c>
    </row>
    <row r="40" ht="23.85" customHeight="1" s="29">
      <c r="A40" s="43" t="inlineStr">
        <is>
          <t>GL-023</t>
        </is>
      </c>
      <c r="B40" s="43" t="inlineStr">
        <is>
          <t>Metadata fields needed for grant reporting (CFDA numbers, PMS subaccounts, Grant Manager names)</t>
        </is>
      </c>
      <c r="C40" s="43" t="inlineStr">
        <is>
          <t>Descriptive Flexfields; DFF Values</t>
        </is>
      </c>
      <c r="D40" s="43" t="inlineStr">
        <is>
          <t>New DFF definition (Descriptive Flexfields) plus its value list (DFF Values)</t>
        </is>
      </c>
      <c r="E40" s="43" t="inlineStr">
        <is>
          <t>Each named metadata field becomes its own DFF; each valid value for it becomes a row on DFF Values.</t>
        </is>
      </c>
    </row>
    <row r="41" ht="23.85" customHeight="1" s="29">
      <c r="A41" s="46" t="inlineStr">
        <is>
          <t>GL-024</t>
        </is>
      </c>
      <c r="B41" s="46" t="inlineStr">
        <is>
          <t>Years of historical data to convert</t>
        </is>
      </c>
      <c r="C41" s="46" t="inlineStr">
        <is>
          <t>—</t>
        </is>
      </c>
      <c r="D41" s="46" t="inlineStr">
        <is>
          <t>—</t>
        </is>
      </c>
      <c r="E41" s="46" t="inlineStr">
        <is>
          <t>Not Mapped — this scopes the data conversion project plan, not a cookbook setup field.</t>
        </is>
      </c>
    </row>
    <row r="42" ht="23.85" customHeight="1" s="29">
      <c r="A42" s="46" t="inlineStr">
        <is>
          <t>GL-025</t>
        </is>
      </c>
      <c r="B42" s="46" t="inlineStr">
        <is>
          <t>Third-party/banking interfaces feeding GL or subledgers</t>
        </is>
      </c>
      <c r="C42" s="46" t="inlineStr">
        <is>
          <t>—</t>
        </is>
      </c>
      <c r="D42" s="46" t="inlineStr">
        <is>
          <t>—</t>
        </is>
      </c>
      <c r="E42" s="46" t="inlineStr">
        <is>
          <t>Not Mapped in this cookbook — lives in the integration/interfaces design (and, for banking specifically, the Cash Management module's own cookbook).</t>
        </is>
      </c>
    </row>
    <row r="43" ht="23.85" customHeight="1" s="29">
      <c r="A43" s="46" t="inlineStr">
        <is>
          <t>GL-026</t>
        </is>
      </c>
      <c r="B43" s="46" t="inlineStr">
        <is>
          <t>Standard financial statements and regulatory filings required out of the box</t>
        </is>
      </c>
      <c r="C43" s="46" t="inlineStr">
        <is>
          <t>—</t>
        </is>
      </c>
      <c r="D43" s="46" t="inlineStr">
        <is>
          <t>—</t>
        </is>
      </c>
      <c r="E43" s="46" t="inlineStr">
        <is>
          <t>Not Mapped — reporting deliverables are built in a separate reporting tool (e.g., FR Studio/OTBI), not this GL setup cookbook.</t>
        </is>
      </c>
    </row>
    <row r="46" ht="15" customHeight="1" s="29">
      <c r="A46" s="33" t="inlineStr">
        <is>
          <t>Cookbook Tabs With No Discovery Question Yet</t>
        </is>
      </c>
    </row>
    <row r="47" ht="15" customHeight="1" s="29">
      <c r="A47" s="31" t="inlineStr">
        <is>
          <t>These are real tabs in the reference cookbook that the current 26-question GL Discovery deck doesn't ask about at all. Flagging for awareness, not building out yet — extend the questionnaire when ready.</t>
        </is>
      </c>
    </row>
    <row r="49" ht="28.35" customHeight="1" s="29">
      <c r="A49" s="34" t="inlineStr">
        <is>
          <t>Cookbook Tab</t>
        </is>
      </c>
      <c r="B49" s="34" t="inlineStr">
        <is>
          <t>What It Configures</t>
        </is>
      </c>
    </row>
    <row r="50" ht="46.25" customHeight="1" s="29">
      <c r="A50" s="37" t="inlineStr">
        <is>
          <t>Ledger (most fields)</t>
        </is>
      </c>
      <c r="B50" s="37" t="inlineStr">
        <is>
          <t>Accounting method detail, suspense accounts, sequencing, secondary ledger, journal approval toggles, balancing threshold — the Discovery deck only covers currency and future-period policy.</t>
        </is>
      </c>
    </row>
    <row r="51" ht="68.65000000000001" customHeight="1" s="29">
      <c r="A51" s="37" t="inlineStr">
        <is>
          <t>Manage COA Structure Instances (Displayed/Required/BI Enabled flags)</t>
        </is>
      </c>
      <c r="B51" s="37" t="inlineStr">
        <is>
          <t>Per-segment display and BI-reporting toggles beyond the dynamic-combination question.</t>
        </is>
      </c>
    </row>
    <row r="52" ht="46.25" customHeight="1" s="29">
      <c r="A52" s="37" t="inlineStr">
        <is>
          <t>Manage COA Segment Values (bulk value load)</t>
        </is>
      </c>
      <c r="B52" s="37" t="inlineStr">
        <is>
          <t>The actual list of valid Fund/Cost Center/Account codes — no discovery question captures the client's real chart of accounts values, only the structure shape.</t>
        </is>
      </c>
    </row>
    <row r="53" ht="35.05" customHeight="1" s="29">
      <c r="A53" s="37" t="inlineStr">
        <is>
          <t>Conversion Rate Types (detail)</t>
        </is>
      </c>
      <c r="B53" s="37" t="inlineStr">
        <is>
          <t>Cross-rate pivot currency and override settings beyond the basic multi-currency yes/no.</t>
        </is>
      </c>
    </row>
    <row r="54" ht="23.85" customHeight="1" s="29">
      <c r="A54" s="37" t="inlineStr">
        <is>
          <t>Auto Post Criteria Sets</t>
        </is>
      </c>
      <c r="B54" s="37" t="inlineStr">
        <is>
          <t>Which journal batches post automatically vs. require manual posting action.</t>
        </is>
      </c>
    </row>
    <row r="55" ht="79.84999999999999" customHeight="1" s="29">
      <c r="A55" s="37" t="inlineStr">
        <is>
          <t>Intercompany Balancing Rule / Transaction Types / Organization (all 3 tabs)</t>
        </is>
      </c>
      <c r="B55" s="37" t="inlineStr">
        <is>
          <t>Full intercompany setup — not touched by any current Discovery Question.</t>
        </is>
      </c>
    </row>
    <row r="56" ht="23.85" customHeight="1" s="29">
      <c r="A56" s="37" t="inlineStr">
        <is>
          <t>Segment Hierarchies</t>
        </is>
      </c>
      <c r="B56" s="37" t="inlineStr">
        <is>
          <t>Tree/rollup structures for reporting (e.g., natural account hierarchies).</t>
        </is>
      </c>
    </row>
    <row r="57" ht="23.85" customHeight="1" s="29">
      <c r="A57" s="37" t="inlineStr">
        <is>
          <t>Period Close Process (detail)</t>
        </is>
      </c>
      <c r="B57" s="37" t="inlineStr">
        <is>
          <t>The close checklist itself, beyond the allocation-timing question.</t>
        </is>
      </c>
    </row>
    <row r="58" ht="35.05" customHeight="1" s="29">
      <c r="A58" s="37" t="inlineStr">
        <is>
          <t>Legal Entity (1099/registration detail)</t>
        </is>
      </c>
      <c r="B58" s="37" t="inlineStr">
        <is>
          <t>1099 Reporting Entity flag, Legal Reporting Unit Registration Number, payroll statutory fields.</t>
        </is>
      </c>
    </row>
  </sheetData>
  <autoFilter ref="A15:E43"/>
  <mergeCells count="1">
    <mergeCell ref="A47:E4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28" min="1" max="1"/>
    <col width="18" customWidth="1" style="28" min="2" max="2"/>
    <col width="12" customWidth="1" style="28" min="3" max="3"/>
    <col width="22" customWidth="1" style="28" min="4" max="4"/>
    <col width="14" customWidth="1" style="28" min="5" max="5"/>
  </cols>
  <sheetData>
    <row r="1" ht="15" customHeight="1" s="29">
      <c r="A1" s="34" t="inlineStr">
        <is>
          <t>Section</t>
        </is>
      </c>
      <c r="B1" s="34" t="inlineStr">
        <is>
          <t>Required Questions</t>
        </is>
      </c>
      <c r="C1" s="34" t="inlineStr">
        <is>
          <t>Answered</t>
        </is>
      </c>
      <c r="D1" s="34" t="inlineStr">
        <is>
          <t>Missing (AI Follow-Up)</t>
        </is>
      </c>
      <c r="E1" s="34" t="inlineStr">
        <is>
          <t>% Complete</t>
        </is>
      </c>
    </row>
    <row r="2" ht="15" customHeight="1" s="29">
      <c r="A2" s="38" t="inlineStr">
        <is>
          <t>Phase 1: Client Intake</t>
        </is>
      </c>
      <c r="B2" s="38">
        <f>COUNTIFS('Discovery Questions'!$C:$C,"INTAKE",'Discovery Questions'!$G:$G,"Y")</f>
        <v/>
      </c>
      <c r="C2" s="38">
        <f>COUNTIFS('Discovery Questions'!$C:$C,"INTAKE",'Discovery Questions'!$G:$G,"Y",'Discovery Questions'!$I:$I,"✓ Answered")</f>
        <v/>
      </c>
      <c r="D2" s="38">
        <f>COUNTIFS('Discovery Questions'!$C:$C,"INTAKE",'Discovery Questions'!$G:$G,"Y",'Discovery Questions'!$I:$I,"⚠ Missing – AI Follow-Up")</f>
        <v/>
      </c>
      <c r="E2" s="47">
        <f>IF(B2=0,0,C2/B2)</f>
        <v/>
      </c>
    </row>
    <row r="3" ht="15" customHeight="1" s="29">
      <c r="A3" s="38" t="inlineStr">
        <is>
          <t>Phase 2: Needs &amp; Wants (Scope)</t>
        </is>
      </c>
      <c r="B3" s="38">
        <f>COUNTIFS('Discovery Questions'!$B:$B,"2 – Needs &amp; Wants (Scope)",'Discovery Questions'!$G:$G,"Y")</f>
        <v/>
      </c>
      <c r="C3" s="38">
        <f>COUNTIFS('Discovery Questions'!$B:$B,"2 – Needs &amp; Wants (Scope)",'Discovery Questions'!$G:$G,"Y",'Discovery Questions'!$I:$I,"✓ Answered")</f>
        <v/>
      </c>
      <c r="D3" s="38">
        <f>COUNTIFS('Discovery Questions'!$B:$B,"2 – Needs &amp; Wants (Scope)",'Discovery Questions'!$G:$G,"Y",'Discovery Questions'!$I:$I,"⚠ Missing – AI Follow-Up")</f>
        <v/>
      </c>
      <c r="E3" s="47">
        <f>IF(B3=0,0,C3/B3)</f>
        <v/>
      </c>
    </row>
    <row r="4" ht="15" customHeight="1" s="29">
      <c r="A4" s="38" t="inlineStr">
        <is>
          <t>Phase 3 – General Ledger (GL)</t>
        </is>
      </c>
      <c r="B4" s="38">
        <f>COUNTIFS('Discovery Questions'!$C:$C,"GL",'Discovery Questions'!$B:$B,"3 – Detailed Discovery (Follow-Up)",'Discovery Questions'!$G:$G,"Y")</f>
        <v/>
      </c>
      <c r="C4" s="38">
        <f>COUNTIFS('Discovery Questions'!$C:$C,"GL",'Discovery Questions'!$B:$B,"3 – Detailed Discovery (Follow-Up)",'Discovery Questions'!$G:$G,"Y",'Discovery Questions'!$I:$I,"✓ Answered")</f>
        <v/>
      </c>
      <c r="D4" s="38">
        <f>COUNTIFS('Discovery Questions'!$C:$C,"GL",'Discovery Questions'!$B:$B,"3 – Detailed Discovery (Follow-Up)",'Discovery Questions'!$G:$G,"Y",'Discovery Questions'!$I:$I,"⚠ Missing – AI Follow-Up")</f>
        <v/>
      </c>
      <c r="E4" s="47">
        <f>IF(B4=0,0,C4/B4)</f>
        <v/>
      </c>
    </row>
    <row r="5" ht="15" customHeight="1" s="29">
      <c r="A5" s="38" t="inlineStr">
        <is>
          <t>Phase 3 – Accounts Payable (AP)</t>
        </is>
      </c>
      <c r="B5" s="38">
        <f>COUNTIFS('Discovery Questions'!$C:$C,"AP",'Discovery Questions'!$B:$B,"3 – Detailed Discovery (Follow-Up)",'Discovery Questions'!$G:$G,"Y")</f>
        <v/>
      </c>
      <c r="C5" s="38">
        <f>COUNTIFS('Discovery Questions'!$C:$C,"AP",'Discovery Questions'!$B:$B,"3 – Detailed Discovery (Follow-Up)",'Discovery Questions'!$G:$G,"Y",'Discovery Questions'!$I:$I,"✓ Answered")</f>
        <v/>
      </c>
      <c r="D5" s="38">
        <f>COUNTIFS('Discovery Questions'!$C:$C,"AP",'Discovery Questions'!$B:$B,"3 – Detailed Discovery (Follow-Up)",'Discovery Questions'!$G:$G,"Y",'Discovery Questions'!$I:$I,"⚠ Missing – AI Follow-Up")</f>
        <v/>
      </c>
      <c r="E5" s="47">
        <f>IF(B5=0,0,C5/B5)</f>
        <v/>
      </c>
    </row>
    <row r="6" ht="15" customHeight="1" s="29">
      <c r="A6" s="38" t="inlineStr">
        <is>
          <t>Phase 3 – Accounts Receivable (AR)</t>
        </is>
      </c>
      <c r="B6" s="38">
        <f>COUNTIFS('Discovery Questions'!$C:$C,"AR",'Discovery Questions'!$B:$B,"3 – Detailed Discovery (Follow-Up)",'Discovery Questions'!$G:$G,"Y")</f>
        <v/>
      </c>
      <c r="C6" s="38">
        <f>COUNTIFS('Discovery Questions'!$C:$C,"AR",'Discovery Questions'!$B:$B,"3 – Detailed Discovery (Follow-Up)",'Discovery Questions'!$G:$G,"Y",'Discovery Questions'!$I:$I,"✓ Answered")</f>
        <v/>
      </c>
      <c r="D6" s="38">
        <f>COUNTIFS('Discovery Questions'!$C:$C,"AR",'Discovery Questions'!$B:$B,"3 – Detailed Discovery (Follow-Up)",'Discovery Questions'!$G:$G,"Y",'Discovery Questions'!$I:$I,"⚠ Missing – AI Follow-Up")</f>
        <v/>
      </c>
      <c r="E6" s="47">
        <f>IF(B6=0,0,C6/B6)</f>
        <v/>
      </c>
    </row>
    <row r="7" ht="15" customHeight="1" s="29">
      <c r="A7" s="38" t="inlineStr">
        <is>
          <t>Phase 3 – Fixed Assets (FA)</t>
        </is>
      </c>
      <c r="B7" s="38">
        <f>COUNTIFS('Discovery Questions'!$C:$C,"FA",'Discovery Questions'!$B:$B,"3 – Detailed Discovery (Follow-Up)",'Discovery Questions'!$G:$G,"Y")</f>
        <v/>
      </c>
      <c r="C7" s="38">
        <f>COUNTIFS('Discovery Questions'!$C:$C,"FA",'Discovery Questions'!$B:$B,"3 – Detailed Discovery (Follow-Up)",'Discovery Questions'!$G:$G,"Y",'Discovery Questions'!$I:$I,"✓ Answered")</f>
        <v/>
      </c>
      <c r="D7" s="38">
        <f>COUNTIFS('Discovery Questions'!$C:$C,"FA",'Discovery Questions'!$B:$B,"3 – Detailed Discovery (Follow-Up)",'Discovery Questions'!$G:$G,"Y",'Discovery Questions'!$I:$I,"⚠ Missing – AI Follow-Up")</f>
        <v/>
      </c>
      <c r="E7" s="47">
        <f>IF(B7=0,0,C7/B7)</f>
        <v/>
      </c>
    </row>
    <row r="8" ht="15" customHeight="1" s="29">
      <c r="A8" s="38" t="inlineStr">
        <is>
          <t>Phase 3 – Cash Management (CM)</t>
        </is>
      </c>
      <c r="B8" s="38">
        <f>COUNTIFS('Discovery Questions'!$C:$C,"CM",'Discovery Questions'!$B:$B,"3 – Detailed Discovery (Follow-Up)",'Discovery Questions'!$G:$G,"Y")</f>
        <v/>
      </c>
      <c r="C8" s="38">
        <f>COUNTIFS('Discovery Questions'!$C:$C,"CM",'Discovery Questions'!$B:$B,"3 – Detailed Discovery (Follow-Up)",'Discovery Questions'!$G:$G,"Y",'Discovery Questions'!$I:$I,"✓ Answered")</f>
        <v/>
      </c>
      <c r="D8" s="38">
        <f>COUNTIFS('Discovery Questions'!$C:$C,"CM",'Discovery Questions'!$B:$B,"3 – Detailed Discovery (Follow-Up)",'Discovery Questions'!$G:$G,"Y",'Discovery Questions'!$I:$I,"⚠ Missing – AI Follow-Up")</f>
        <v/>
      </c>
      <c r="E8" s="47">
        <f>IF(B8=0,0,C8/B8)</f>
        <v/>
      </c>
    </row>
    <row r="9" ht="15" customHeight="1" s="29">
      <c r="A9" s="48" t="inlineStr">
        <is>
          <t>TOTAL</t>
        </is>
      </c>
      <c r="B9" s="49">
        <f>SUM(B2:B8)</f>
        <v/>
      </c>
      <c r="C9" s="49">
        <f>SUM(C2:C8)</f>
        <v/>
      </c>
      <c r="D9" s="49">
        <f>SUM(D2:D8)</f>
        <v/>
      </c>
      <c r="E9" s="50">
        <f>IF(B9=0,0,C9/B9)</f>
        <v/>
      </c>
    </row>
    <row r="11" ht="15" customHeight="1" s="29">
      <c r="A11" s="31" t="inlineStr">
        <is>
          <t>Tip: use the AutoFilter on the Discovery Questions tab (Phase or Status column) to pull the exact list of open items for the next call or for the AI to turn into follow-up questions.</t>
        </is>
      </c>
    </row>
  </sheetData>
  <mergeCells count="1">
    <mergeCell ref="A11:E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2026-07-29T21:33:27Z</dcterms:created>
  <dcterms:modified xmlns:dcterms="http://purl.org/dc/terms/" xmlns:xsi="http://www.w3.org/2001/XMLSchema-instance" xsi:type="dcterms:W3CDTF">2026-08-18T19:21:00Z</dcterms:modified>
  <cp:revision>0</cp:revision>
</cp:coreProperties>
</file>